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ceneris-web\proyecto_yeni\static\proyecto_yeni\plantillas\"/>
    </mc:Choice>
  </mc:AlternateContent>
  <xr:revisionPtr revIDLastSave="0" documentId="13_ncr:1_{B16CACF7-5DE3-4A96-9824-F6BFDC9F8131}" xr6:coauthVersionLast="47" xr6:coauthVersionMax="47" xr10:uidLastSave="{00000000-0000-0000-0000-000000000000}"/>
  <bookViews>
    <workbookView xWindow="-108" yWindow="-108" windowWidth="23256" windowHeight="12456" firstSheet="1" activeTab="1" xr2:uid="{4F73F658-4818-47C0-AF94-AE1B1276863F}"/>
  </bookViews>
  <sheets>
    <sheet name="Med. Espesores" sheetId="1" state="hidden" r:id="rId1"/>
    <sheet name="Incert Eq Esp" sheetId="8" r:id="rId2"/>
    <sheet name="Patrón Escalonado" sheetId="5" state="hidden" r:id="rId3"/>
    <sheet name="Incert Patrón" sheetId="7" r:id="rId4"/>
    <sheet name="Informe de compatibilidad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8" l="1"/>
  <c r="D39" i="8"/>
  <c r="D41" i="8"/>
  <c r="D43" i="8"/>
  <c r="D44" i="8"/>
  <c r="D45" i="8"/>
  <c r="E54" i="8"/>
  <c r="C53" i="8"/>
  <c r="D57" i="8"/>
  <c r="C46" i="8"/>
  <c r="C40" i="8"/>
  <c r="C56" i="8"/>
  <c r="C54" i="8"/>
  <c r="C33" i="7"/>
  <c r="D33" i="7"/>
  <c r="E33" i="7"/>
  <c r="F33" i="7"/>
  <c r="G33" i="7"/>
  <c r="H33" i="7"/>
  <c r="I33" i="7"/>
  <c r="C34" i="7"/>
  <c r="D34" i="7"/>
  <c r="E34" i="7"/>
  <c r="F34" i="7"/>
  <c r="G34" i="7"/>
  <c r="H34" i="7"/>
  <c r="I34" i="7"/>
  <c r="C35" i="7"/>
  <c r="D35" i="7"/>
  <c r="E35" i="7"/>
  <c r="F35" i="7"/>
  <c r="G35" i="7"/>
  <c r="H35" i="7"/>
  <c r="I35" i="7"/>
  <c r="C36" i="7"/>
  <c r="D36" i="7"/>
  <c r="E36" i="7"/>
  <c r="F36" i="7"/>
  <c r="G36" i="7"/>
  <c r="H36" i="7"/>
  <c r="I36" i="7"/>
  <c r="C37" i="7"/>
  <c r="D37" i="7"/>
  <c r="E37" i="7"/>
  <c r="F37" i="7"/>
  <c r="G37" i="7"/>
  <c r="H37" i="7"/>
  <c r="I37" i="7"/>
  <c r="C38" i="7"/>
  <c r="D38" i="7"/>
  <c r="E38" i="7"/>
  <c r="F38" i="7"/>
  <c r="G38" i="7"/>
  <c r="H38" i="7"/>
  <c r="I38" i="7"/>
  <c r="C39" i="7"/>
  <c r="D39" i="7"/>
  <c r="E39" i="7"/>
  <c r="F39" i="7"/>
  <c r="G39" i="7"/>
  <c r="H39" i="7"/>
  <c r="I39" i="7"/>
  <c r="K70" i="5"/>
  <c r="K73" i="5"/>
  <c r="K76" i="5"/>
  <c r="K79" i="5"/>
  <c r="K82" i="5"/>
  <c r="K85" i="5"/>
  <c r="E39" i="8"/>
  <c r="E41" i="8"/>
  <c r="E43" i="8"/>
  <c r="E44" i="8"/>
  <c r="E45" i="8"/>
  <c r="E55" i="8"/>
  <c r="F39" i="8"/>
  <c r="F41" i="8"/>
  <c r="F43" i="8"/>
  <c r="F44" i="8"/>
  <c r="F45" i="8"/>
  <c r="E56" i="8"/>
  <c r="G39" i="8"/>
  <c r="G41" i="8"/>
  <c r="G43" i="8"/>
  <c r="G44" i="8"/>
  <c r="G45" i="8"/>
  <c r="E57" i="8"/>
  <c r="H39" i="8"/>
  <c r="D40" i="8"/>
  <c r="E40" i="8"/>
  <c r="F40" i="8"/>
  <c r="G40" i="8"/>
  <c r="H40" i="8"/>
  <c r="H41" i="8"/>
  <c r="H43" i="8"/>
  <c r="H44" i="8"/>
  <c r="H45" i="8"/>
  <c r="D46" i="8"/>
  <c r="E46" i="8"/>
  <c r="C55" i="8"/>
  <c r="F46" i="8"/>
  <c r="G46" i="8"/>
  <c r="C57" i="8"/>
  <c r="H46" i="8"/>
  <c r="F49" i="8"/>
  <c r="G49" i="8"/>
  <c r="G53" i="8"/>
  <c r="K55" i="1"/>
  <c r="K58" i="1"/>
  <c r="K61" i="1"/>
  <c r="K64" i="1"/>
  <c r="K67" i="1"/>
  <c r="K70" i="1"/>
  <c r="E49" i="8"/>
  <c r="D49" i="8"/>
  <c r="C49" i="8"/>
  <c r="D55" i="8"/>
  <c r="D56" i="8"/>
  <c r="C41" i="8"/>
  <c r="C43" i="8"/>
  <c r="C44" i="8"/>
  <c r="C45" i="8"/>
  <c r="E53" i="8"/>
  <c r="D53" i="8"/>
  <c r="D54" i="8"/>
</calcChain>
</file>

<file path=xl/sharedStrings.xml><?xml version="1.0" encoding="utf-8"?>
<sst xmlns="http://schemas.openxmlformats.org/spreadsheetml/2006/main" count="200" uniqueCount="117">
  <si>
    <t>Fecha de emisión</t>
  </si>
  <si>
    <t>N° Certificado</t>
  </si>
  <si>
    <t>:</t>
  </si>
  <si>
    <t>Cliente</t>
  </si>
  <si>
    <t>Dirección</t>
  </si>
  <si>
    <t>Fecha Calibración</t>
  </si>
  <si>
    <t>Instrumento</t>
  </si>
  <si>
    <t>Descripción</t>
  </si>
  <si>
    <t>Modelo/ N° de parte</t>
  </si>
  <si>
    <t>N° de Serie</t>
  </si>
  <si>
    <t>Rangos de mediciones</t>
  </si>
  <si>
    <t>Patrones utilizados</t>
  </si>
  <si>
    <t xml:space="preserve"> Descripción</t>
  </si>
  <si>
    <t>Fabricante</t>
  </si>
  <si>
    <t>Modelo</t>
  </si>
  <si>
    <t>N° Serie</t>
  </si>
  <si>
    <t>Vence</t>
  </si>
  <si>
    <t>Emisor</t>
  </si>
  <si>
    <t>Trazabilidad</t>
  </si>
  <si>
    <t>Certificado de Calibración</t>
  </si>
  <si>
    <t>CETI Inspecciones Ltda.</t>
  </si>
  <si>
    <t>Temperatura</t>
  </si>
  <si>
    <t>Humedad</t>
  </si>
  <si>
    <t>Resultados de la Calibración</t>
  </si>
  <si>
    <t>La Incertidumbre asociada a la medición tiene un nivel de confiabilidad del 95% K=2</t>
  </si>
  <si>
    <t>Fabricación</t>
  </si>
  <si>
    <t xml:space="preserve">Calibración efectuada en </t>
  </si>
  <si>
    <t>Camino a Melipilla #7060, Cerrillos</t>
  </si>
  <si>
    <t>Resolución</t>
  </si>
  <si>
    <t>Los resultados del presente certificado de calibración se aplica solo al ítem calibrado. Este documento NO podrá ser repoducido parcialmente</t>
  </si>
  <si>
    <t>5A</t>
  </si>
  <si>
    <t>APPIED TEST SYSTEMS</t>
  </si>
  <si>
    <t>A22777</t>
  </si>
  <si>
    <t>Juan Pablo Tiznado</t>
  </si>
  <si>
    <t>Inspector END</t>
  </si>
  <si>
    <t>Firma</t>
  </si>
  <si>
    <t>Ricardo Calderón  O.</t>
  </si>
  <si>
    <t>Jefe Dpto. Confiabilidad y Ensayos</t>
  </si>
  <si>
    <t>DETERMINACION DE LA INCERTIDUMBRE DE MEDICIÓN</t>
  </si>
  <si>
    <t>Donde</t>
  </si>
  <si>
    <t xml:space="preserve"> =Factor de cobertura</t>
  </si>
  <si>
    <t>K=2</t>
  </si>
  <si>
    <t>95% confianza</t>
  </si>
  <si>
    <t xml:space="preserve"> =Incertidumbre combinada</t>
  </si>
  <si>
    <t xml:space="preserve"> =Inceridumbre expandida</t>
  </si>
  <si>
    <t>res= Incertidumbre de resolución del equipo</t>
  </si>
  <si>
    <t>rep= Incertidumbre de repetibilidad de la medición</t>
  </si>
  <si>
    <t xml:space="preserve"> =Desviación estándar</t>
  </si>
  <si>
    <t xml:space="preserve"> =Factor de Student (1,11)</t>
  </si>
  <si>
    <t xml:space="preserve"> =Número de repeticiones</t>
  </si>
  <si>
    <t>DMS</t>
  </si>
  <si>
    <t>res</t>
  </si>
  <si>
    <t>n</t>
  </si>
  <si>
    <t>Fact student</t>
  </si>
  <si>
    <t>Patron</t>
  </si>
  <si>
    <t>Medición 1</t>
  </si>
  <si>
    <t>Medición 2</t>
  </si>
  <si>
    <t>Medición 3</t>
  </si>
  <si>
    <t>Desv STD</t>
  </si>
  <si>
    <t>rep</t>
  </si>
  <si>
    <t>Uexp</t>
  </si>
  <si>
    <r>
      <t>DMS=</t>
    </r>
    <r>
      <rPr>
        <sz val="10"/>
        <rFont val="Arial"/>
        <family val="2"/>
      </rPr>
      <t xml:space="preserve"> Dígito menos significativo</t>
    </r>
  </si>
  <si>
    <t>Patrón Escalonado 5 Pasos</t>
  </si>
  <si>
    <t>2,5 - 20 mm</t>
  </si>
  <si>
    <t>Lectura Patrón (mm)</t>
  </si>
  <si>
    <t>Lecturas Instrumento calibrado (mm)</t>
  </si>
  <si>
    <t>Lecturas Promedio Instrumento Calibrado(mm)</t>
  </si>
  <si>
    <t>Incertidumbre Expandida ± (k=2) (mm)</t>
  </si>
  <si>
    <t>NIST</t>
  </si>
  <si>
    <t>DTS</t>
  </si>
  <si>
    <t>Micrometro</t>
  </si>
  <si>
    <t>MITUTOYO</t>
  </si>
  <si>
    <t>293-721-30</t>
  </si>
  <si>
    <t>2006-1863</t>
  </si>
  <si>
    <t>Laboratorio END</t>
  </si>
  <si>
    <t>20°C ± 1°</t>
  </si>
  <si>
    <t>40% ± 5% H.R.</t>
  </si>
  <si>
    <t>P1 2,500</t>
  </si>
  <si>
    <t>P2 5,000</t>
  </si>
  <si>
    <t>P3 7,500</t>
  </si>
  <si>
    <t>P4 10,000</t>
  </si>
  <si>
    <t>P5 12,500</t>
  </si>
  <si>
    <t>L 20,000</t>
  </si>
  <si>
    <t>Desviación (mm)</t>
  </si>
  <si>
    <t xml:space="preserve">Observaciones </t>
  </si>
  <si>
    <t>Promedio</t>
  </si>
  <si>
    <t>p</t>
  </si>
  <si>
    <t>PAT001-01102007</t>
  </si>
  <si>
    <t>Certificado de Verificacion</t>
  </si>
  <si>
    <t>Dicha incertidumbre ha de ser de 3 a</t>
  </si>
  <si>
    <t>10 veces inferior al semi-intervalo de tolerancia asignado al parámetro a medir.</t>
  </si>
  <si>
    <t>Ejemplo:</t>
  </si>
  <si>
    <t>Tenemos que determinar si los resultados de la calibración de un pie de rey son aceptables para medir piezas</t>
  </si>
  <si>
    <t>de longitud hasta 100 mm que tienen una tolerancia de fabricación de ± 0,3 mm.</t>
  </si>
  <si>
    <t>La incertidumbre máxima de uso que deberá tener el pie de rey será, en el caso menos exigente, de 0,3/3= 0,1</t>
  </si>
  <si>
    <t>mm ( ±) y en el más exigente 0,3/10=0,03 mm (±).</t>
  </si>
  <si>
    <t>CALCULO DE INCERTIDUMBRE PARA EQUIPOS DE MEDIDA</t>
  </si>
  <si>
    <t>Incertidunbre</t>
  </si>
  <si>
    <t>Informe de compatibilidad para planilla de calculo de incertidumbre.xls</t>
  </si>
  <si>
    <t>Ejecutado el 15/09/2020 11:27</t>
  </si>
  <si>
    <t>Si el libro se guarda o se abre en un formato de archivo de una versión anterior de Microsoft Excel, las características indicadas no estarán disponibles.</t>
  </si>
  <si>
    <t>Pérdida menor de fidelidad</t>
  </si>
  <si>
    <t>Nº de apariciones</t>
  </si>
  <si>
    <t>Versión</t>
  </si>
  <si>
    <t>Algunas celdas o estilos de este libro contienen un formato no admitido en el formato de archivo seleccionado. Estos formatos se convertirán al formato más cercano disponible.</t>
  </si>
  <si>
    <t>Excel 97-2003</t>
  </si>
  <si>
    <t>Desviación</t>
  </si>
  <si>
    <t>Incertidumbre</t>
  </si>
  <si>
    <t xml:space="preserve"> </t>
  </si>
  <si>
    <t xml:space="preserve">        =Factor de cobertura</t>
  </si>
  <si>
    <t xml:space="preserve">        =Incertidumbre combinada</t>
  </si>
  <si>
    <t xml:space="preserve">        =Inceridumbre expandida</t>
  </si>
  <si>
    <t xml:space="preserve">     res= Incertidumbre de resolución del equipo</t>
  </si>
  <si>
    <t xml:space="preserve">     rep= Incertidumbre de repetibilidad de la medición</t>
  </si>
  <si>
    <t xml:space="preserve">      =Número de repeticiones</t>
  </si>
  <si>
    <t xml:space="preserve">      =Factor de Student (1,11)</t>
  </si>
  <si>
    <t xml:space="preserve">      =Desviación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</si>
</sst>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E+00;\䁐"/>
  </numFmts>
  <fonts count="12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i/>
      <sz val="14"/>
      <name val="Arial"/>
      <family val="2"/>
    </font>
    <font>
      <b/>
      <i/>
      <sz val="12"/>
      <name val="Tahoma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6" fillId="3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3" borderId="2" xfId="0" applyFont="1" applyFill="1" applyBorder="1"/>
    <xf numFmtId="0" fontId="0" fillId="2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3" borderId="2" xfId="0" applyFill="1" applyBorder="1"/>
    <xf numFmtId="165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5" fontId="0" fillId="0" borderId="0" xfId="0" applyNumberFormat="1"/>
    <xf numFmtId="0" fontId="1" fillId="0" borderId="4" xfId="0" applyFont="1" applyBorder="1"/>
    <xf numFmtId="0" fontId="8" fillId="0" borderId="0" xfId="0" applyFont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165" fontId="0" fillId="6" borderId="2" xfId="0" applyNumberFormat="1" applyFill="1" applyBorder="1" applyAlignment="1">
      <alignment horizontal="center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164" fontId="0" fillId="2" borderId="0" xfId="0" applyNumberFormat="1" applyFill="1"/>
    <xf numFmtId="164" fontId="5" fillId="2" borderId="2" xfId="0" applyNumberFormat="1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164" fontId="5" fillId="0" borderId="16" xfId="0" applyNumberFormat="1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15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5" fontId="0" fillId="0" borderId="0" xfId="0" applyNumberFormat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5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9.emf"/><Relationship Id="rId7" Type="http://schemas.openxmlformats.org/officeDocument/2006/relationships/image" Target="../media/image12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11" Type="http://schemas.openxmlformats.org/officeDocument/2006/relationships/image" Target="../media/image3.emf"/><Relationship Id="rId5" Type="http://schemas.openxmlformats.org/officeDocument/2006/relationships/image" Target="../media/image11.emf"/><Relationship Id="rId10" Type="http://schemas.openxmlformats.org/officeDocument/2006/relationships/image" Target="../media/image15.emf"/><Relationship Id="rId4" Type="http://schemas.openxmlformats.org/officeDocument/2006/relationships/image" Target="../media/image10.emf"/><Relationship Id="rId9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42</xdr:row>
      <xdr:rowOff>30480</xdr:rowOff>
    </xdr:from>
    <xdr:to>
      <xdr:col>8</xdr:col>
      <xdr:colOff>7620</xdr:colOff>
      <xdr:row>45</xdr:row>
      <xdr:rowOff>0</xdr:rowOff>
    </xdr:to>
    <xdr:pic>
      <xdr:nvPicPr>
        <xdr:cNvPr id="8969" name="3 Imagen">
          <a:extLst>
            <a:ext uri="{FF2B5EF4-FFF2-40B4-BE49-F238E27FC236}">
              <a16:creationId xmlns:a16="http://schemas.microsoft.com/office/drawing/2014/main" id="{A67672DE-565A-038B-7343-D4930372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6850380"/>
          <a:ext cx="159258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137160</xdr:colOff>
      <xdr:row>3</xdr:row>
      <xdr:rowOff>106680</xdr:rowOff>
    </xdr:to>
    <xdr:pic>
      <xdr:nvPicPr>
        <xdr:cNvPr id="8970" name="4 Imagen">
          <a:extLst>
            <a:ext uri="{FF2B5EF4-FFF2-40B4-BE49-F238E27FC236}">
              <a16:creationId xmlns:a16="http://schemas.microsoft.com/office/drawing/2014/main" id="{94BB7886-D275-1EF4-FD68-C59E6B78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496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31</xdr:row>
          <xdr:rowOff>7620</xdr:rowOff>
        </xdr:from>
        <xdr:to>
          <xdr:col>3</xdr:col>
          <xdr:colOff>358140</xdr:colOff>
          <xdr:row>31</xdr:row>
          <xdr:rowOff>190500</xdr:rowOff>
        </xdr:to>
        <xdr:sp macro="" textlink="">
          <xdr:nvSpPr>
            <xdr:cNvPr id="6157" name="Object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1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39</xdr:row>
          <xdr:rowOff>7620</xdr:rowOff>
        </xdr:from>
        <xdr:to>
          <xdr:col>1</xdr:col>
          <xdr:colOff>350520</xdr:colOff>
          <xdr:row>39</xdr:row>
          <xdr:rowOff>190500</xdr:rowOff>
        </xdr:to>
        <xdr:sp macro="" textlink="">
          <xdr:nvSpPr>
            <xdr:cNvPr id="6158" name="Object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1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40</xdr:row>
          <xdr:rowOff>7620</xdr:rowOff>
        </xdr:from>
        <xdr:to>
          <xdr:col>1</xdr:col>
          <xdr:colOff>342900</xdr:colOff>
          <xdr:row>41</xdr:row>
          <xdr:rowOff>0</xdr:rowOff>
        </xdr:to>
        <xdr:sp macro="" textlink="">
          <xdr:nvSpPr>
            <xdr:cNvPr id="6159" name="Object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1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42</xdr:row>
          <xdr:rowOff>7620</xdr:rowOff>
        </xdr:from>
        <xdr:to>
          <xdr:col>1</xdr:col>
          <xdr:colOff>548640</xdr:colOff>
          <xdr:row>43</xdr:row>
          <xdr:rowOff>0</xdr:rowOff>
        </xdr:to>
        <xdr:sp macro="" textlink="">
          <xdr:nvSpPr>
            <xdr:cNvPr id="6160" name="Object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1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43</xdr:row>
          <xdr:rowOff>7620</xdr:rowOff>
        </xdr:from>
        <xdr:to>
          <xdr:col>1</xdr:col>
          <xdr:colOff>472440</xdr:colOff>
          <xdr:row>44</xdr:row>
          <xdr:rowOff>0</xdr:rowOff>
        </xdr:to>
        <xdr:sp macro="" textlink="">
          <xdr:nvSpPr>
            <xdr:cNvPr id="6161" name="Object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1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41</xdr:row>
          <xdr:rowOff>7620</xdr:rowOff>
        </xdr:from>
        <xdr:to>
          <xdr:col>1</xdr:col>
          <xdr:colOff>342900</xdr:colOff>
          <xdr:row>42</xdr:row>
          <xdr:rowOff>0</xdr:rowOff>
        </xdr:to>
        <xdr:sp macro="" textlink="">
          <xdr:nvSpPr>
            <xdr:cNvPr id="6162" name="Object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1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769620</xdr:colOff>
      <xdr:row>0</xdr:row>
      <xdr:rowOff>38100</xdr:rowOff>
    </xdr:from>
    <xdr:to>
      <xdr:col>3</xdr:col>
      <xdr:colOff>304800</xdr:colOff>
      <xdr:row>3</xdr:row>
      <xdr:rowOff>60960</xdr:rowOff>
    </xdr:to>
    <xdr:pic>
      <xdr:nvPicPr>
        <xdr:cNvPr id="6548" name="Imagen 2">
          <a:extLst>
            <a:ext uri="{FF2B5EF4-FFF2-40B4-BE49-F238E27FC236}">
              <a16:creationId xmlns:a16="http://schemas.microsoft.com/office/drawing/2014/main" id="{ED8F2AED-E341-067A-1F96-5E2AF095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38100"/>
          <a:ext cx="221742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</xdr:colOff>
      <xdr:row>89</xdr:row>
      <xdr:rowOff>83820</xdr:rowOff>
    </xdr:from>
    <xdr:to>
      <xdr:col>25</xdr:col>
      <xdr:colOff>38100</xdr:colOff>
      <xdr:row>97</xdr:row>
      <xdr:rowOff>175260</xdr:rowOff>
    </xdr:to>
    <xdr:pic>
      <xdr:nvPicPr>
        <xdr:cNvPr id="9993" name="Picture 42">
          <a:extLst>
            <a:ext uri="{FF2B5EF4-FFF2-40B4-BE49-F238E27FC236}">
              <a16:creationId xmlns:a16="http://schemas.microsoft.com/office/drawing/2014/main" id="{039A2804-5B2A-4C6C-89E2-38D420C5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5293340"/>
          <a:ext cx="4183380" cy="1424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54</xdr:row>
      <xdr:rowOff>38100</xdr:rowOff>
    </xdr:from>
    <xdr:to>
      <xdr:col>8</xdr:col>
      <xdr:colOff>106680</xdr:colOff>
      <xdr:row>57</xdr:row>
      <xdr:rowOff>129540</xdr:rowOff>
    </xdr:to>
    <xdr:pic>
      <xdr:nvPicPr>
        <xdr:cNvPr id="9994" name="Picture 44">
          <a:extLst>
            <a:ext uri="{FF2B5EF4-FFF2-40B4-BE49-F238E27FC236}">
              <a16:creationId xmlns:a16="http://schemas.microsoft.com/office/drawing/2014/main" id="{3C8EDD90-789E-996A-ACE7-81C12AB25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945880"/>
          <a:ext cx="169926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914400</xdr:colOff>
          <xdr:row>4</xdr:row>
          <xdr:rowOff>198120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4</xdr:col>
          <xdr:colOff>655320</xdr:colOff>
          <xdr:row>9</xdr:row>
          <xdr:rowOff>152400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2</xdr:col>
          <xdr:colOff>739140</xdr:colOff>
          <xdr:row>15</xdr:row>
          <xdr:rowOff>7620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723900</xdr:colOff>
          <xdr:row>19</xdr:row>
          <xdr:rowOff>198120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</xdr:row>
          <xdr:rowOff>121920</xdr:rowOff>
        </xdr:from>
        <xdr:to>
          <xdr:col>4</xdr:col>
          <xdr:colOff>1051560</xdr:colOff>
          <xdr:row>4</xdr:row>
          <xdr:rowOff>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3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769620</xdr:colOff>
          <xdr:row>4</xdr:row>
          <xdr:rowOff>7620</xdr:rowOff>
        </xdr:from>
        <xdr:to>
          <xdr:col>4</xdr:col>
          <xdr:colOff>1028700</xdr:colOff>
          <xdr:row>5</xdr:row>
          <xdr:rowOff>60960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3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441960</xdr:colOff>
          <xdr:row>5</xdr:row>
          <xdr:rowOff>0</xdr:rowOff>
        </xdr:from>
        <xdr:to>
          <xdr:col>4</xdr:col>
          <xdr:colOff>1028700</xdr:colOff>
          <xdr:row>6</xdr:row>
          <xdr:rowOff>60960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3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815340</xdr:colOff>
          <xdr:row>6</xdr:row>
          <xdr:rowOff>198120</xdr:rowOff>
        </xdr:from>
        <xdr:to>
          <xdr:col>5</xdr:col>
          <xdr:colOff>1074420</xdr:colOff>
          <xdr:row>8</xdr:row>
          <xdr:rowOff>76200</xdr:rowOff>
        </xdr:to>
        <xdr:sp macro="" textlink="">
          <xdr:nvSpPr>
            <xdr:cNvPr id="5128" name="Object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3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815340</xdr:colOff>
          <xdr:row>8</xdr:row>
          <xdr:rowOff>38100</xdr:rowOff>
        </xdr:from>
        <xdr:to>
          <xdr:col>5</xdr:col>
          <xdr:colOff>1074420</xdr:colOff>
          <xdr:row>9</xdr:row>
          <xdr:rowOff>121920</xdr:rowOff>
        </xdr:to>
        <xdr:sp macro="" textlink="">
          <xdr:nvSpPr>
            <xdr:cNvPr id="5129" name="Object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3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16</xdr:row>
          <xdr:rowOff>175260</xdr:rowOff>
        </xdr:from>
        <xdr:to>
          <xdr:col>3</xdr:col>
          <xdr:colOff>1036320</xdr:colOff>
          <xdr:row>18</xdr:row>
          <xdr:rowOff>68580</xdr:rowOff>
        </xdr:to>
        <xdr:sp macro="" textlink="">
          <xdr:nvSpPr>
            <xdr:cNvPr id="5130" name="Object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3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17</xdr:row>
          <xdr:rowOff>198120</xdr:rowOff>
        </xdr:from>
        <xdr:to>
          <xdr:col>3</xdr:col>
          <xdr:colOff>952500</xdr:colOff>
          <xdr:row>19</xdr:row>
          <xdr:rowOff>76200</xdr:rowOff>
        </xdr:to>
        <xdr:sp macro="" textlink="">
          <xdr:nvSpPr>
            <xdr:cNvPr id="5131" name="Object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3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19</xdr:row>
          <xdr:rowOff>0</xdr:rowOff>
        </xdr:from>
        <xdr:to>
          <xdr:col>3</xdr:col>
          <xdr:colOff>944880</xdr:colOff>
          <xdr:row>20</xdr:row>
          <xdr:rowOff>99060</xdr:rowOff>
        </xdr:to>
        <xdr:sp macro="" textlink="">
          <xdr:nvSpPr>
            <xdr:cNvPr id="5132" name="Object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3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</xdr:colOff>
          <xdr:row>25</xdr:row>
          <xdr:rowOff>7620</xdr:rowOff>
        </xdr:from>
        <xdr:to>
          <xdr:col>3</xdr:col>
          <xdr:colOff>358140</xdr:colOff>
          <xdr:row>25</xdr:row>
          <xdr:rowOff>190500</xdr:rowOff>
        </xdr:to>
        <xdr:sp macro="" textlink="">
          <xdr:nvSpPr>
            <xdr:cNvPr id="5133" name="Object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3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33</xdr:row>
          <xdr:rowOff>7620</xdr:rowOff>
        </xdr:from>
        <xdr:to>
          <xdr:col>1</xdr:col>
          <xdr:colOff>350520</xdr:colOff>
          <xdr:row>33</xdr:row>
          <xdr:rowOff>190500</xdr:rowOff>
        </xdr:to>
        <xdr:sp macro="" textlink="">
          <xdr:nvSpPr>
            <xdr:cNvPr id="5134" name="Object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3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34</xdr:row>
          <xdr:rowOff>7620</xdr:rowOff>
        </xdr:from>
        <xdr:to>
          <xdr:col>1</xdr:col>
          <xdr:colOff>342900</xdr:colOff>
          <xdr:row>35</xdr:row>
          <xdr:rowOff>0</xdr:rowOff>
        </xdr:to>
        <xdr:sp macro="" textlink="">
          <xdr:nvSpPr>
            <xdr:cNvPr id="5135" name="Object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3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35</xdr:row>
          <xdr:rowOff>7620</xdr:rowOff>
        </xdr:from>
        <xdr:to>
          <xdr:col>1</xdr:col>
          <xdr:colOff>548640</xdr:colOff>
          <xdr:row>36</xdr:row>
          <xdr:rowOff>0</xdr:rowOff>
        </xdr:to>
        <xdr:sp macro="" textlink="">
          <xdr:nvSpPr>
            <xdr:cNvPr id="5136" name="Object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3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36</xdr:row>
          <xdr:rowOff>7620</xdr:rowOff>
        </xdr:from>
        <xdr:to>
          <xdr:col>1</xdr:col>
          <xdr:colOff>472440</xdr:colOff>
          <xdr:row>37</xdr:row>
          <xdr:rowOff>0</xdr:rowOff>
        </xdr:to>
        <xdr:sp macro="" textlink="">
          <xdr:nvSpPr>
            <xdr:cNvPr id="5137" name="Object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3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99CCFF" mc:Ignorable="a14" a14:legacySpreadsheetColorIndex="44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6.bin"/><Relationship Id="rId5" Type="http://schemas.openxmlformats.org/officeDocument/2006/relationships/image" Target="../media/image2.e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.bin"/><Relationship Id="rId13" Type="http://schemas.openxmlformats.org/officeDocument/2006/relationships/image" Target="../media/image11.emf"/><Relationship Id="rId18" Type="http://schemas.openxmlformats.org/officeDocument/2006/relationships/oleObject" Target="../embeddings/oleObject14.bin"/><Relationship Id="rId26" Type="http://schemas.openxmlformats.org/officeDocument/2006/relationships/oleObject" Target="../embeddings/oleObject19.bin"/><Relationship Id="rId3" Type="http://schemas.openxmlformats.org/officeDocument/2006/relationships/vmlDrawing" Target="../drawings/vmlDrawing2.vml"/><Relationship Id="rId21" Type="http://schemas.openxmlformats.org/officeDocument/2006/relationships/image" Target="../media/image13.emf"/><Relationship Id="rId7" Type="http://schemas.openxmlformats.org/officeDocument/2006/relationships/image" Target="../media/image8.emf"/><Relationship Id="rId12" Type="http://schemas.openxmlformats.org/officeDocument/2006/relationships/oleObject" Target="../embeddings/oleObject11.bin"/><Relationship Id="rId17" Type="http://schemas.openxmlformats.org/officeDocument/2006/relationships/image" Target="../media/image12.emf"/><Relationship Id="rId25" Type="http://schemas.openxmlformats.org/officeDocument/2006/relationships/image" Target="../media/image15.emf"/><Relationship Id="rId2" Type="http://schemas.openxmlformats.org/officeDocument/2006/relationships/drawing" Target="../drawings/drawing4.xml"/><Relationship Id="rId16" Type="http://schemas.openxmlformats.org/officeDocument/2006/relationships/oleObject" Target="../embeddings/oleObject13.bin"/><Relationship Id="rId20" Type="http://schemas.openxmlformats.org/officeDocument/2006/relationships/oleObject" Target="../embeddings/oleObject16.bin"/><Relationship Id="rId29" Type="http://schemas.openxmlformats.org/officeDocument/2006/relationships/oleObject" Target="../embeddings/oleObject22.bin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8.bin"/><Relationship Id="rId11" Type="http://schemas.openxmlformats.org/officeDocument/2006/relationships/image" Target="../media/image10.emf"/><Relationship Id="rId24" Type="http://schemas.openxmlformats.org/officeDocument/2006/relationships/oleObject" Target="../embeddings/oleObject18.bin"/><Relationship Id="rId5" Type="http://schemas.openxmlformats.org/officeDocument/2006/relationships/image" Target="../media/image7.emf"/><Relationship Id="rId15" Type="http://schemas.openxmlformats.org/officeDocument/2006/relationships/image" Target="../media/image2.emf"/><Relationship Id="rId23" Type="http://schemas.openxmlformats.org/officeDocument/2006/relationships/image" Target="../media/image14.emf"/><Relationship Id="rId28" Type="http://schemas.openxmlformats.org/officeDocument/2006/relationships/oleObject" Target="../embeddings/oleObject21.bin"/><Relationship Id="rId10" Type="http://schemas.openxmlformats.org/officeDocument/2006/relationships/oleObject" Target="../embeddings/oleObject10.bin"/><Relationship Id="rId19" Type="http://schemas.openxmlformats.org/officeDocument/2006/relationships/oleObject" Target="../embeddings/oleObject15.bin"/><Relationship Id="rId31" Type="http://schemas.openxmlformats.org/officeDocument/2006/relationships/oleObject" Target="../embeddings/oleObject23.bin"/><Relationship Id="rId4" Type="http://schemas.openxmlformats.org/officeDocument/2006/relationships/oleObject" Target="../embeddings/oleObject7.bin"/><Relationship Id="rId9" Type="http://schemas.openxmlformats.org/officeDocument/2006/relationships/image" Target="../media/image9.emf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17.bin"/><Relationship Id="rId27" Type="http://schemas.openxmlformats.org/officeDocument/2006/relationships/oleObject" Target="../embeddings/oleObject20.bin"/><Relationship Id="rId30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25FD-4C6A-4877-B086-FDBBD526E932}">
  <dimension ref="A3:AF89"/>
  <sheetViews>
    <sheetView topLeftCell="A46" workbookViewId="0">
      <selection activeCell="K67" sqref="K67:P69"/>
    </sheetView>
  </sheetViews>
  <sheetFormatPr baseColWidth="10" defaultColWidth="2.6640625" defaultRowHeight="13.2" x14ac:dyDescent="0.25"/>
  <cols>
    <col min="1" max="4" width="2.6640625" customWidth="1"/>
    <col min="5" max="5" width="2.109375" customWidth="1"/>
    <col min="6" max="6" width="2.6640625" customWidth="1"/>
    <col min="7" max="7" width="5.6640625" customWidth="1"/>
    <col min="8" max="18" width="2.6640625" customWidth="1"/>
    <col min="19" max="19" width="3.33203125" customWidth="1"/>
    <col min="20" max="20" width="2.5546875" customWidth="1"/>
    <col min="21" max="21" width="2.6640625" customWidth="1"/>
    <col min="22" max="22" width="3.33203125" customWidth="1"/>
    <col min="23" max="25" width="2.6640625" customWidth="1"/>
    <col min="26" max="26" width="4.5546875" customWidth="1"/>
    <col min="27" max="27" width="3.33203125" customWidth="1"/>
    <col min="28" max="30" width="2.6640625" customWidth="1"/>
    <col min="31" max="31" width="2.5546875" customWidth="1"/>
  </cols>
  <sheetData>
    <row r="3" spans="1:32" ht="15" x14ac:dyDescent="0.25">
      <c r="V3" s="74"/>
      <c r="W3" s="74"/>
      <c r="X3" s="74"/>
      <c r="Y3" s="74"/>
      <c r="Z3" s="74"/>
      <c r="AA3" s="74"/>
      <c r="AB3" s="74"/>
      <c r="AC3" s="74"/>
      <c r="AD3" s="74"/>
      <c r="AE3" s="74"/>
    </row>
    <row r="4" spans="1:32" ht="15" x14ac:dyDescent="0.25"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2" x14ac:dyDescent="0.25">
      <c r="B5" s="1" t="s">
        <v>0</v>
      </c>
      <c r="G5" s="1"/>
      <c r="I5" t="s">
        <v>2</v>
      </c>
      <c r="J5" s="72"/>
      <c r="K5" s="72"/>
      <c r="L5" s="72"/>
      <c r="M5" s="72"/>
      <c r="N5" s="72"/>
      <c r="O5" s="22"/>
    </row>
    <row r="6" spans="1:32" ht="6" customHeight="1" x14ac:dyDescent="0.25">
      <c r="B6" s="1"/>
      <c r="G6" s="1"/>
    </row>
    <row r="7" spans="1:32" x14ac:dyDescent="0.25">
      <c r="B7" s="1" t="s">
        <v>1</v>
      </c>
      <c r="G7" s="1"/>
      <c r="I7" t="s">
        <v>2</v>
      </c>
    </row>
    <row r="8" spans="1:32" ht="17.25" customHeight="1" x14ac:dyDescent="0.25"/>
    <row r="9" spans="1:32" ht="17.399999999999999" x14ac:dyDescent="0.3">
      <c r="A9" s="75" t="s">
        <v>88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3"/>
    </row>
    <row r="11" spans="1:32" x14ac:dyDescent="0.25">
      <c r="A11" s="1" t="s">
        <v>3</v>
      </c>
      <c r="B11" s="1"/>
      <c r="C11" s="1"/>
      <c r="D11" s="1"/>
      <c r="E11" s="1"/>
      <c r="F11" s="1"/>
      <c r="G11" s="1"/>
      <c r="H11" s="1" t="s">
        <v>2</v>
      </c>
    </row>
    <row r="12" spans="1:32" ht="6" customHeight="1" x14ac:dyDescent="0.25"/>
    <row r="13" spans="1:32" x14ac:dyDescent="0.25">
      <c r="A13" s="1" t="s">
        <v>4</v>
      </c>
      <c r="B13" s="1"/>
      <c r="C13" s="1"/>
      <c r="D13" s="1"/>
      <c r="E13" s="1"/>
      <c r="F13" s="1"/>
      <c r="G13" s="1"/>
      <c r="H13" s="1" t="s">
        <v>2</v>
      </c>
    </row>
    <row r="14" spans="1:32" ht="6" customHeight="1" x14ac:dyDescent="0.25"/>
    <row r="15" spans="1:32" x14ac:dyDescent="0.25">
      <c r="A15" s="1" t="s">
        <v>5</v>
      </c>
      <c r="B15" s="1"/>
      <c r="C15" s="1"/>
      <c r="D15" s="1"/>
      <c r="E15" s="1"/>
      <c r="F15" s="1"/>
      <c r="G15" s="1"/>
      <c r="H15" s="1" t="s">
        <v>2</v>
      </c>
      <c r="I15" s="72"/>
      <c r="J15" s="72"/>
      <c r="K15" s="72"/>
      <c r="L15" s="72"/>
      <c r="M15" s="72"/>
      <c r="N15" s="72"/>
    </row>
    <row r="16" spans="1:32" ht="12.75" customHeight="1" x14ac:dyDescent="0.25"/>
    <row r="17" spans="1:32" x14ac:dyDescent="0.25">
      <c r="A17" s="1" t="s">
        <v>6</v>
      </c>
      <c r="B17" s="1"/>
      <c r="C17" s="1"/>
      <c r="D17" s="1"/>
      <c r="E17" s="1"/>
      <c r="F17" s="1"/>
      <c r="G17" s="1"/>
      <c r="H17" s="1"/>
    </row>
    <row r="18" spans="1:32" ht="6" customHeight="1" x14ac:dyDescent="0.25"/>
    <row r="19" spans="1:32" x14ac:dyDescent="0.25">
      <c r="A19" s="1" t="s">
        <v>7</v>
      </c>
      <c r="B19" s="1"/>
      <c r="C19" s="1"/>
      <c r="D19" s="1"/>
      <c r="E19" s="1"/>
      <c r="F19" s="1"/>
      <c r="G19" s="1"/>
      <c r="H19" s="1" t="s">
        <v>2</v>
      </c>
    </row>
    <row r="20" spans="1:32" ht="5.25" customHeight="1" x14ac:dyDescent="0.25"/>
    <row r="21" spans="1:32" x14ac:dyDescent="0.25">
      <c r="A21" s="1" t="s">
        <v>25</v>
      </c>
      <c r="B21" s="1"/>
      <c r="C21" s="1"/>
      <c r="D21" s="1"/>
      <c r="E21" s="1"/>
      <c r="F21" s="1"/>
      <c r="G21" s="1"/>
      <c r="H21" s="1" t="s">
        <v>2</v>
      </c>
    </row>
    <row r="22" spans="1:32" ht="6" customHeight="1" x14ac:dyDescent="0.25"/>
    <row r="23" spans="1:32" x14ac:dyDescent="0.25">
      <c r="A23" s="1" t="s">
        <v>8</v>
      </c>
      <c r="B23" s="1"/>
      <c r="C23" s="1"/>
      <c r="D23" s="1"/>
      <c r="E23" s="1"/>
      <c r="F23" s="1"/>
      <c r="G23" s="1"/>
      <c r="H23" s="1" t="s">
        <v>2</v>
      </c>
    </row>
    <row r="24" spans="1:32" ht="6" customHeight="1" x14ac:dyDescent="0.25"/>
    <row r="25" spans="1:32" x14ac:dyDescent="0.25">
      <c r="A25" s="1" t="s">
        <v>9</v>
      </c>
      <c r="B25" s="1"/>
      <c r="C25" s="1"/>
      <c r="D25" s="1"/>
      <c r="E25" s="1"/>
      <c r="F25" s="1"/>
      <c r="G25" s="1"/>
      <c r="H25" s="1" t="s">
        <v>2</v>
      </c>
    </row>
    <row r="26" spans="1:32" ht="6" customHeight="1" x14ac:dyDescent="0.25"/>
    <row r="27" spans="1:32" x14ac:dyDescent="0.25">
      <c r="A27" s="1" t="s">
        <v>10</v>
      </c>
      <c r="B27" s="1"/>
      <c r="C27" s="1"/>
      <c r="D27" s="1"/>
      <c r="E27" s="1"/>
      <c r="F27" s="1"/>
      <c r="G27" s="1"/>
      <c r="H27" s="1" t="s">
        <v>2</v>
      </c>
    </row>
    <row r="28" spans="1:32" ht="6" customHeight="1" x14ac:dyDescent="0.25">
      <c r="A28" s="1"/>
      <c r="B28" s="1"/>
      <c r="C28" s="1"/>
      <c r="D28" s="1"/>
      <c r="E28" s="1"/>
      <c r="F28" s="1"/>
      <c r="G28" s="1"/>
      <c r="H28" s="1"/>
    </row>
    <row r="29" spans="1:32" ht="12.75" customHeight="1" x14ac:dyDescent="0.25">
      <c r="A29" s="1" t="s">
        <v>28</v>
      </c>
      <c r="B29" s="1"/>
      <c r="C29" s="1"/>
      <c r="D29" s="1"/>
      <c r="E29" s="1"/>
      <c r="F29" s="1"/>
      <c r="G29" s="1"/>
      <c r="H29" s="1" t="s">
        <v>2</v>
      </c>
    </row>
    <row r="31" spans="1:32" x14ac:dyDescent="0.25">
      <c r="A31" s="1" t="s">
        <v>11</v>
      </c>
    </row>
    <row r="32" spans="1:32" ht="24.75" customHeight="1" x14ac:dyDescent="0.25">
      <c r="A32" s="77" t="s">
        <v>12</v>
      </c>
      <c r="B32" s="77"/>
      <c r="C32" s="77"/>
      <c r="D32" s="77"/>
      <c r="E32" s="77"/>
      <c r="F32" s="77" t="s">
        <v>13</v>
      </c>
      <c r="G32" s="77"/>
      <c r="H32" s="77"/>
      <c r="I32" s="77" t="s">
        <v>14</v>
      </c>
      <c r="J32" s="77"/>
      <c r="K32" s="77"/>
      <c r="L32" s="77"/>
      <c r="M32" s="77" t="s">
        <v>15</v>
      </c>
      <c r="N32" s="77"/>
      <c r="O32" s="77"/>
      <c r="P32" s="77" t="s">
        <v>1</v>
      </c>
      <c r="Q32" s="77"/>
      <c r="R32" s="77"/>
      <c r="S32" s="77"/>
      <c r="T32" s="77"/>
      <c r="U32" s="77" t="s">
        <v>16</v>
      </c>
      <c r="V32" s="77"/>
      <c r="W32" s="77"/>
      <c r="X32" s="77" t="s">
        <v>17</v>
      </c>
      <c r="Y32" s="77"/>
      <c r="Z32" s="77"/>
      <c r="AA32" s="77" t="s">
        <v>18</v>
      </c>
      <c r="AB32" s="77"/>
      <c r="AC32" s="77"/>
      <c r="AD32" s="77"/>
      <c r="AE32" s="77"/>
      <c r="AF32" s="1"/>
    </row>
    <row r="33" spans="1:32" ht="24.75" customHeight="1" x14ac:dyDescent="0.25">
      <c r="A33" s="73"/>
      <c r="B33" s="73"/>
      <c r="C33" s="73"/>
      <c r="D33" s="73"/>
      <c r="E33" s="73"/>
      <c r="F33" s="76"/>
      <c r="G33" s="76"/>
      <c r="H33" s="76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8"/>
      <c r="V33" s="73"/>
      <c r="W33" s="73"/>
      <c r="X33" s="79"/>
      <c r="Y33" s="79"/>
      <c r="Z33" s="79"/>
      <c r="AA33" s="79"/>
      <c r="AB33" s="79"/>
      <c r="AC33" s="79"/>
      <c r="AD33" s="79"/>
      <c r="AE33" s="79"/>
    </row>
    <row r="34" spans="1:32" ht="27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7" spans="1:32" x14ac:dyDescent="0.25">
      <c r="A37" s="85" t="s">
        <v>29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</row>
    <row r="38" spans="1:32" x14ac:dyDescent="0.25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</row>
    <row r="42" spans="1:32" ht="15" x14ac:dyDescent="0.25">
      <c r="V42" s="74"/>
      <c r="W42" s="74"/>
      <c r="X42" s="74"/>
      <c r="Y42" s="74"/>
      <c r="Z42" s="74"/>
      <c r="AA42" s="74"/>
      <c r="AB42" s="74"/>
      <c r="AC42" s="74"/>
      <c r="AD42" s="74"/>
      <c r="AE42" s="74"/>
    </row>
    <row r="43" spans="1:32" ht="15" x14ac:dyDescent="0.25"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2" ht="15" customHeight="1" x14ac:dyDescent="0.25"/>
    <row r="45" spans="1:32" ht="17.399999999999999" x14ac:dyDescent="0.3">
      <c r="A45" s="75" t="s">
        <v>88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3"/>
    </row>
    <row r="47" spans="1:32" x14ac:dyDescent="0.25">
      <c r="A47" s="1" t="s">
        <v>26</v>
      </c>
      <c r="I47" s="1" t="s">
        <v>2</v>
      </c>
    </row>
    <row r="48" spans="1:32" ht="6" customHeight="1" x14ac:dyDescent="0.25">
      <c r="A48" s="1"/>
      <c r="I48" s="1"/>
    </row>
    <row r="49" spans="1:31" x14ac:dyDescent="0.25">
      <c r="A49" s="1" t="s">
        <v>21</v>
      </c>
      <c r="I49" s="1" t="s">
        <v>2</v>
      </c>
    </row>
    <row r="50" spans="1:31" ht="6" customHeight="1" x14ac:dyDescent="0.25">
      <c r="A50" s="1"/>
      <c r="I50" s="1"/>
    </row>
    <row r="51" spans="1:31" x14ac:dyDescent="0.25">
      <c r="A51" s="1" t="s">
        <v>22</v>
      </c>
      <c r="I51" s="1" t="s">
        <v>2</v>
      </c>
    </row>
    <row r="53" spans="1:31" x14ac:dyDescent="0.25">
      <c r="A53" s="80" t="s">
        <v>23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</row>
    <row r="54" spans="1:31" ht="49.5" customHeight="1" x14ac:dyDescent="0.25">
      <c r="A54" s="82" t="s">
        <v>64</v>
      </c>
      <c r="B54" s="83"/>
      <c r="C54" s="83"/>
      <c r="D54" s="83"/>
      <c r="E54" s="84"/>
      <c r="F54" s="87" t="s">
        <v>65</v>
      </c>
      <c r="G54" s="87"/>
      <c r="H54" s="87"/>
      <c r="I54" s="87"/>
      <c r="J54" s="87"/>
      <c r="K54" s="81" t="s">
        <v>66</v>
      </c>
      <c r="L54" s="81"/>
      <c r="M54" s="81"/>
      <c r="N54" s="81"/>
      <c r="O54" s="81"/>
      <c r="P54" s="81"/>
      <c r="Q54" s="81" t="s">
        <v>83</v>
      </c>
      <c r="R54" s="81"/>
      <c r="S54" s="81"/>
      <c r="T54" s="81"/>
      <c r="U54" s="81"/>
      <c r="V54" s="81" t="s">
        <v>67</v>
      </c>
      <c r="W54" s="81"/>
      <c r="X54" s="81"/>
      <c r="Y54" s="81"/>
      <c r="Z54" s="81"/>
      <c r="AA54" s="82" t="s">
        <v>84</v>
      </c>
      <c r="AB54" s="83"/>
      <c r="AC54" s="83"/>
      <c r="AD54" s="83"/>
      <c r="AE54" s="84"/>
    </row>
    <row r="55" spans="1:31" x14ac:dyDescent="0.25">
      <c r="A55" s="86">
        <v>1000</v>
      </c>
      <c r="B55" s="69"/>
      <c r="C55" s="69"/>
      <c r="D55" s="69"/>
      <c r="E55" s="45"/>
      <c r="F55" s="61">
        <v>1.0049999999999999</v>
      </c>
      <c r="G55" s="54"/>
      <c r="H55" s="54"/>
      <c r="I55" s="54"/>
      <c r="J55" s="62"/>
      <c r="K55" s="54">
        <f>SUM(F55:J57)/3</f>
        <v>1.0073333333333332</v>
      </c>
      <c r="L55" s="54"/>
      <c r="M55" s="54"/>
      <c r="N55" s="54"/>
      <c r="O55" s="54"/>
      <c r="P55" s="62"/>
      <c r="Q55" s="61">
        <v>1.1532562594670748E-2</v>
      </c>
      <c r="R55" s="54"/>
      <c r="S55" s="54"/>
      <c r="T55" s="54"/>
      <c r="U55" s="62"/>
      <c r="V55" s="61">
        <v>0.10991475060245554</v>
      </c>
      <c r="W55" s="54"/>
      <c r="X55" s="54"/>
      <c r="Y55" s="54"/>
      <c r="Z55" s="62"/>
      <c r="AA55" s="45"/>
      <c r="AB55" s="46"/>
      <c r="AC55" s="46"/>
      <c r="AD55" s="46"/>
      <c r="AE55" s="47"/>
    </row>
    <row r="56" spans="1:31" x14ac:dyDescent="0.25">
      <c r="A56" s="70"/>
      <c r="B56" s="70"/>
      <c r="C56" s="70"/>
      <c r="D56" s="70"/>
      <c r="E56" s="48"/>
      <c r="F56" s="63">
        <v>1.0049999999999999</v>
      </c>
      <c r="G56" s="64"/>
      <c r="H56" s="64"/>
      <c r="I56" s="64"/>
      <c r="J56" s="65"/>
      <c r="K56" s="64"/>
      <c r="L56" s="64"/>
      <c r="M56" s="64"/>
      <c r="N56" s="64"/>
      <c r="O56" s="64"/>
      <c r="P56" s="65"/>
      <c r="Q56" s="63"/>
      <c r="R56" s="64"/>
      <c r="S56" s="64"/>
      <c r="T56" s="64"/>
      <c r="U56" s="65"/>
      <c r="V56" s="63"/>
      <c r="W56" s="64"/>
      <c r="X56" s="64"/>
      <c r="Y56" s="64"/>
      <c r="Z56" s="65"/>
      <c r="AA56" s="48"/>
      <c r="AB56" s="49"/>
      <c r="AC56" s="49"/>
      <c r="AD56" s="49"/>
      <c r="AE56" s="50"/>
    </row>
    <row r="57" spans="1:31" x14ac:dyDescent="0.25">
      <c r="A57" s="71"/>
      <c r="B57" s="71"/>
      <c r="C57" s="71"/>
      <c r="D57" s="71"/>
      <c r="E57" s="51"/>
      <c r="F57" s="66">
        <v>1.012</v>
      </c>
      <c r="G57" s="67"/>
      <c r="H57" s="67"/>
      <c r="I57" s="67"/>
      <c r="J57" s="68"/>
      <c r="K57" s="67"/>
      <c r="L57" s="67"/>
      <c r="M57" s="67"/>
      <c r="N57" s="67"/>
      <c r="O57" s="67"/>
      <c r="P57" s="68"/>
      <c r="Q57" s="66"/>
      <c r="R57" s="67"/>
      <c r="S57" s="67"/>
      <c r="T57" s="67"/>
      <c r="U57" s="68"/>
      <c r="V57" s="66"/>
      <c r="W57" s="67"/>
      <c r="X57" s="67"/>
      <c r="Y57" s="67"/>
      <c r="Z57" s="68"/>
      <c r="AA57" s="51"/>
      <c r="AB57" s="52"/>
      <c r="AC57" s="52"/>
      <c r="AD57" s="52"/>
      <c r="AE57" s="53"/>
    </row>
    <row r="58" spans="1:31" x14ac:dyDescent="0.25">
      <c r="A58" s="69">
        <v>2</v>
      </c>
      <c r="B58" s="69"/>
      <c r="C58" s="69"/>
      <c r="D58" s="69"/>
      <c r="E58" s="45"/>
      <c r="F58" s="61">
        <v>1.9990000000000001</v>
      </c>
      <c r="G58" s="54"/>
      <c r="H58" s="54"/>
      <c r="I58" s="54"/>
      <c r="J58" s="62"/>
      <c r="K58" s="54">
        <f>SUM(F58:J60)/3</f>
        <v>2.0033333333333334</v>
      </c>
      <c r="L58" s="55"/>
      <c r="M58" s="55"/>
      <c r="N58" s="55"/>
      <c r="O58" s="55"/>
      <c r="P58" s="56"/>
      <c r="Q58" s="61">
        <v>1.3012814197295549E-2</v>
      </c>
      <c r="R58" s="54"/>
      <c r="S58" s="54"/>
      <c r="T58" s="54"/>
      <c r="U58" s="62"/>
      <c r="V58" s="61">
        <v>0.11457146590665583</v>
      </c>
      <c r="W58" s="54"/>
      <c r="X58" s="54"/>
      <c r="Y58" s="54"/>
      <c r="Z58" s="62"/>
      <c r="AA58" s="45"/>
      <c r="AB58" s="46"/>
      <c r="AC58" s="46"/>
      <c r="AD58" s="46"/>
      <c r="AE58" s="47"/>
    </row>
    <row r="59" spans="1:31" x14ac:dyDescent="0.25">
      <c r="A59" s="70"/>
      <c r="B59" s="70"/>
      <c r="C59" s="70"/>
      <c r="D59" s="70"/>
      <c r="E59" s="48"/>
      <c r="F59" s="63">
        <v>2</v>
      </c>
      <c r="G59" s="64"/>
      <c r="H59" s="64"/>
      <c r="I59" s="64"/>
      <c r="J59" s="65"/>
      <c r="K59" s="57"/>
      <c r="L59" s="57"/>
      <c r="M59" s="57"/>
      <c r="N59" s="57"/>
      <c r="O59" s="57"/>
      <c r="P59" s="58"/>
      <c r="Q59" s="63"/>
      <c r="R59" s="64"/>
      <c r="S59" s="64"/>
      <c r="T59" s="64"/>
      <c r="U59" s="65"/>
      <c r="V59" s="63"/>
      <c r="W59" s="64"/>
      <c r="X59" s="64"/>
      <c r="Y59" s="64"/>
      <c r="Z59" s="65"/>
      <c r="AA59" s="48"/>
      <c r="AB59" s="49"/>
      <c r="AC59" s="49"/>
      <c r="AD59" s="49"/>
      <c r="AE59" s="50"/>
    </row>
    <row r="60" spans="1:31" x14ac:dyDescent="0.25">
      <c r="A60" s="71"/>
      <c r="B60" s="71"/>
      <c r="C60" s="71"/>
      <c r="D60" s="71"/>
      <c r="E60" s="51"/>
      <c r="F60" s="66">
        <v>2.0110000000000001</v>
      </c>
      <c r="G60" s="67"/>
      <c r="H60" s="67"/>
      <c r="I60" s="67"/>
      <c r="J60" s="68"/>
      <c r="K60" s="59"/>
      <c r="L60" s="59"/>
      <c r="M60" s="59"/>
      <c r="N60" s="59"/>
      <c r="O60" s="59"/>
      <c r="P60" s="60"/>
      <c r="Q60" s="66"/>
      <c r="R60" s="67"/>
      <c r="S60" s="67"/>
      <c r="T60" s="67"/>
      <c r="U60" s="68"/>
      <c r="V60" s="66"/>
      <c r="W60" s="67"/>
      <c r="X60" s="67"/>
      <c r="Y60" s="67"/>
      <c r="Z60" s="68"/>
      <c r="AA60" s="51"/>
      <c r="AB60" s="52"/>
      <c r="AC60" s="52"/>
      <c r="AD60" s="52"/>
      <c r="AE60" s="53"/>
    </row>
    <row r="61" spans="1:31" x14ac:dyDescent="0.25">
      <c r="A61" s="69">
        <v>3</v>
      </c>
      <c r="B61" s="69"/>
      <c r="C61" s="69"/>
      <c r="D61" s="69"/>
      <c r="E61" s="45"/>
      <c r="F61" s="61">
        <v>3.01</v>
      </c>
      <c r="G61" s="54"/>
      <c r="H61" s="54"/>
      <c r="I61" s="54"/>
      <c r="J61" s="62"/>
      <c r="K61" s="54">
        <f>SUM(F61:J63)/3</f>
        <v>3.0046666666666666</v>
      </c>
      <c r="L61" s="55"/>
      <c r="M61" s="55"/>
      <c r="N61" s="55"/>
      <c r="O61" s="55"/>
      <c r="P61" s="56"/>
      <c r="Q61" s="61">
        <v>1.0535653752852696E-2</v>
      </c>
      <c r="R61" s="54"/>
      <c r="S61" s="54"/>
      <c r="T61" s="54"/>
      <c r="U61" s="62"/>
      <c r="V61" s="61">
        <v>0.11024804215948684</v>
      </c>
      <c r="W61" s="54"/>
      <c r="X61" s="54"/>
      <c r="Y61" s="54"/>
      <c r="Z61" s="62"/>
      <c r="AA61" s="45"/>
      <c r="AB61" s="46"/>
      <c r="AC61" s="46"/>
      <c r="AD61" s="46"/>
      <c r="AE61" s="47"/>
    </row>
    <row r="62" spans="1:31" x14ac:dyDescent="0.25">
      <c r="A62" s="70"/>
      <c r="B62" s="70"/>
      <c r="C62" s="70"/>
      <c r="D62" s="70"/>
      <c r="E62" s="48"/>
      <c r="F62" s="63">
        <v>3.0059999999999998</v>
      </c>
      <c r="G62" s="64"/>
      <c r="H62" s="64"/>
      <c r="I62" s="64"/>
      <c r="J62" s="65"/>
      <c r="K62" s="57"/>
      <c r="L62" s="57"/>
      <c r="M62" s="57"/>
      <c r="N62" s="57"/>
      <c r="O62" s="57"/>
      <c r="P62" s="58"/>
      <c r="Q62" s="63"/>
      <c r="R62" s="64"/>
      <c r="S62" s="64"/>
      <c r="T62" s="64"/>
      <c r="U62" s="65"/>
      <c r="V62" s="63"/>
      <c r="W62" s="64"/>
      <c r="X62" s="64"/>
      <c r="Y62" s="64"/>
      <c r="Z62" s="65"/>
      <c r="AA62" s="48"/>
      <c r="AB62" s="49"/>
      <c r="AC62" s="49"/>
      <c r="AD62" s="49"/>
      <c r="AE62" s="50"/>
    </row>
    <row r="63" spans="1:31" x14ac:dyDescent="0.25">
      <c r="A63" s="71"/>
      <c r="B63" s="71"/>
      <c r="C63" s="71"/>
      <c r="D63" s="71"/>
      <c r="E63" s="51"/>
      <c r="F63" s="66">
        <v>2.9980000000000002</v>
      </c>
      <c r="G63" s="67"/>
      <c r="H63" s="67"/>
      <c r="I63" s="67"/>
      <c r="J63" s="68"/>
      <c r="K63" s="59"/>
      <c r="L63" s="59"/>
      <c r="M63" s="59"/>
      <c r="N63" s="59"/>
      <c r="O63" s="59"/>
      <c r="P63" s="60"/>
      <c r="Q63" s="66"/>
      <c r="R63" s="67"/>
      <c r="S63" s="67"/>
      <c r="T63" s="67"/>
      <c r="U63" s="68"/>
      <c r="V63" s="66"/>
      <c r="W63" s="67"/>
      <c r="X63" s="67"/>
      <c r="Y63" s="67"/>
      <c r="Z63" s="68"/>
      <c r="AA63" s="51"/>
      <c r="AB63" s="52"/>
      <c r="AC63" s="52"/>
      <c r="AD63" s="52"/>
      <c r="AE63" s="53"/>
    </row>
    <row r="64" spans="1:31" x14ac:dyDescent="0.25">
      <c r="A64" s="69">
        <v>4</v>
      </c>
      <c r="B64" s="69"/>
      <c r="C64" s="69"/>
      <c r="D64" s="69"/>
      <c r="E64" s="45"/>
      <c r="F64" s="63">
        <v>4</v>
      </c>
      <c r="G64" s="64"/>
      <c r="H64" s="64"/>
      <c r="I64" s="64"/>
      <c r="J64" s="65"/>
      <c r="K64" s="61">
        <f>SUM(F64:J66)/3</f>
        <v>4.0086666666666666</v>
      </c>
      <c r="L64" s="55"/>
      <c r="M64" s="55"/>
      <c r="N64" s="55"/>
      <c r="O64" s="55"/>
      <c r="P64" s="56"/>
      <c r="Q64" s="61">
        <v>2.5514701644346105E-2</v>
      </c>
      <c r="R64" s="54"/>
      <c r="S64" s="54"/>
      <c r="T64" s="54"/>
      <c r="U64" s="62"/>
      <c r="V64" s="61">
        <v>0.11797416157786396</v>
      </c>
      <c r="W64" s="54"/>
      <c r="X64" s="54"/>
      <c r="Y64" s="54"/>
      <c r="Z64" s="62"/>
      <c r="AA64" s="45"/>
      <c r="AB64" s="46"/>
      <c r="AC64" s="46"/>
      <c r="AD64" s="46"/>
      <c r="AE64" s="47"/>
    </row>
    <row r="65" spans="1:31" x14ac:dyDescent="0.25">
      <c r="A65" s="70"/>
      <c r="B65" s="70"/>
      <c r="C65" s="70"/>
      <c r="D65" s="70"/>
      <c r="E65" s="48"/>
      <c r="F65" s="63">
        <v>4.0140000000000002</v>
      </c>
      <c r="G65" s="64"/>
      <c r="H65" s="64"/>
      <c r="I65" s="64"/>
      <c r="J65" s="65"/>
      <c r="K65" s="89"/>
      <c r="L65" s="57"/>
      <c r="M65" s="57"/>
      <c r="N65" s="57"/>
      <c r="O65" s="57"/>
      <c r="P65" s="58"/>
      <c r="Q65" s="63"/>
      <c r="R65" s="64"/>
      <c r="S65" s="64"/>
      <c r="T65" s="64"/>
      <c r="U65" s="65"/>
      <c r="V65" s="63"/>
      <c r="W65" s="64"/>
      <c r="X65" s="64"/>
      <c r="Y65" s="64"/>
      <c r="Z65" s="65"/>
      <c r="AA65" s="48"/>
      <c r="AB65" s="49"/>
      <c r="AC65" s="49"/>
      <c r="AD65" s="49"/>
      <c r="AE65" s="50"/>
    </row>
    <row r="66" spans="1:31" x14ac:dyDescent="0.25">
      <c r="A66" s="71"/>
      <c r="B66" s="71"/>
      <c r="C66" s="71"/>
      <c r="D66" s="71"/>
      <c r="E66" s="51"/>
      <c r="F66" s="63">
        <v>4.0119999999999996</v>
      </c>
      <c r="G66" s="64"/>
      <c r="H66" s="64"/>
      <c r="I66" s="64"/>
      <c r="J66" s="65"/>
      <c r="K66" s="90"/>
      <c r="L66" s="59"/>
      <c r="M66" s="59"/>
      <c r="N66" s="59"/>
      <c r="O66" s="59"/>
      <c r="P66" s="60"/>
      <c r="Q66" s="66"/>
      <c r="R66" s="67"/>
      <c r="S66" s="67"/>
      <c r="T66" s="67"/>
      <c r="U66" s="68"/>
      <c r="V66" s="66"/>
      <c r="W66" s="67"/>
      <c r="X66" s="67"/>
      <c r="Y66" s="67"/>
      <c r="Z66" s="68"/>
      <c r="AA66" s="51"/>
      <c r="AB66" s="52"/>
      <c r="AC66" s="52"/>
      <c r="AD66" s="52"/>
      <c r="AE66" s="53"/>
    </row>
    <row r="67" spans="1:31" x14ac:dyDescent="0.25">
      <c r="A67" s="69">
        <v>5</v>
      </c>
      <c r="B67" s="69"/>
      <c r="C67" s="69"/>
      <c r="D67" s="69"/>
      <c r="E67" s="45"/>
      <c r="F67" s="61">
        <v>4.9989999999999997</v>
      </c>
      <c r="G67" s="54"/>
      <c r="H67" s="54"/>
      <c r="I67" s="54"/>
      <c r="J67" s="62"/>
      <c r="K67" s="54">
        <f>SUM(F67:J69)/3</f>
        <v>5.011333333333333</v>
      </c>
      <c r="L67" s="55"/>
      <c r="M67" s="55"/>
      <c r="N67" s="55"/>
      <c r="O67" s="55"/>
      <c r="P67" s="56"/>
      <c r="Q67" s="61">
        <v>1.2858201014657377E-2</v>
      </c>
      <c r="R67" s="54"/>
      <c r="S67" s="54"/>
      <c r="T67" s="54"/>
      <c r="U67" s="62"/>
      <c r="V67" s="61">
        <v>0.11015611467367575</v>
      </c>
      <c r="W67" s="54"/>
      <c r="X67" s="54"/>
      <c r="Y67" s="54"/>
      <c r="Z67" s="62"/>
      <c r="AA67" s="45"/>
      <c r="AB67" s="46"/>
      <c r="AC67" s="46"/>
      <c r="AD67" s="46"/>
      <c r="AE67" s="47"/>
    </row>
    <row r="68" spans="1:31" x14ac:dyDescent="0.25">
      <c r="A68" s="70"/>
      <c r="B68" s="70"/>
      <c r="C68" s="70"/>
      <c r="D68" s="70"/>
      <c r="E68" s="48"/>
      <c r="F68" s="63">
        <v>5.0110000000000001</v>
      </c>
      <c r="G68" s="64"/>
      <c r="H68" s="64"/>
      <c r="I68" s="64"/>
      <c r="J68" s="65"/>
      <c r="K68" s="57"/>
      <c r="L68" s="57"/>
      <c r="M68" s="57"/>
      <c r="N68" s="57"/>
      <c r="O68" s="57"/>
      <c r="P68" s="58"/>
      <c r="Q68" s="63"/>
      <c r="R68" s="64"/>
      <c r="S68" s="64"/>
      <c r="T68" s="64"/>
      <c r="U68" s="65"/>
      <c r="V68" s="63"/>
      <c r="W68" s="64"/>
      <c r="X68" s="64"/>
      <c r="Y68" s="64"/>
      <c r="Z68" s="65"/>
      <c r="AA68" s="48"/>
      <c r="AB68" s="49"/>
      <c r="AC68" s="49"/>
      <c r="AD68" s="49"/>
      <c r="AE68" s="50"/>
    </row>
    <row r="69" spans="1:31" x14ac:dyDescent="0.25">
      <c r="A69" s="71"/>
      <c r="B69" s="71"/>
      <c r="C69" s="71"/>
      <c r="D69" s="71"/>
      <c r="E69" s="51"/>
      <c r="F69" s="63">
        <v>5.024</v>
      </c>
      <c r="G69" s="64"/>
      <c r="H69" s="64"/>
      <c r="I69" s="64"/>
      <c r="J69" s="65"/>
      <c r="K69" s="59"/>
      <c r="L69" s="59"/>
      <c r="M69" s="59"/>
      <c r="N69" s="59"/>
      <c r="O69" s="59"/>
      <c r="P69" s="60"/>
      <c r="Q69" s="66"/>
      <c r="R69" s="67"/>
      <c r="S69" s="67"/>
      <c r="T69" s="67"/>
      <c r="U69" s="68"/>
      <c r="V69" s="66"/>
      <c r="W69" s="67"/>
      <c r="X69" s="67"/>
      <c r="Y69" s="67"/>
      <c r="Z69" s="68"/>
      <c r="AA69" s="51"/>
      <c r="AB69" s="52"/>
      <c r="AC69" s="52"/>
      <c r="AD69" s="52"/>
      <c r="AE69" s="53"/>
    </row>
    <row r="70" spans="1:31" x14ac:dyDescent="0.25">
      <c r="A70" s="69">
        <v>19.266999999999999</v>
      </c>
      <c r="B70" s="69"/>
      <c r="C70" s="69"/>
      <c r="D70" s="69"/>
      <c r="E70" s="45"/>
      <c r="F70" s="61">
        <v>19.28</v>
      </c>
      <c r="G70" s="54"/>
      <c r="H70" s="54"/>
      <c r="I70" s="54"/>
      <c r="J70" s="62"/>
      <c r="K70" s="54">
        <f>SUM(F70:J72)/3</f>
        <v>19.266666666666669</v>
      </c>
      <c r="L70" s="55"/>
      <c r="M70" s="55"/>
      <c r="N70" s="55"/>
      <c r="O70" s="55"/>
      <c r="P70" s="56"/>
      <c r="Q70" s="61" t="e">
        <v>#DIV/0!</v>
      </c>
      <c r="R70" s="54"/>
      <c r="S70" s="54"/>
      <c r="T70" s="54"/>
      <c r="U70" s="62"/>
      <c r="V70" s="61" t="e">
        <v>#DIV/0!</v>
      </c>
      <c r="W70" s="54"/>
      <c r="X70" s="54"/>
      <c r="Y70" s="54"/>
      <c r="Z70" s="62"/>
      <c r="AA70" s="45"/>
      <c r="AB70" s="46"/>
      <c r="AC70" s="46"/>
      <c r="AD70" s="46"/>
      <c r="AE70" s="47"/>
    </row>
    <row r="71" spans="1:31" x14ac:dyDescent="0.25">
      <c r="A71" s="70"/>
      <c r="B71" s="70"/>
      <c r="C71" s="70"/>
      <c r="D71" s="70"/>
      <c r="E71" s="48"/>
      <c r="F71" s="63">
        <v>19.260000000000002</v>
      </c>
      <c r="G71" s="64"/>
      <c r="H71" s="64"/>
      <c r="I71" s="64"/>
      <c r="J71" s="65"/>
      <c r="K71" s="57"/>
      <c r="L71" s="57"/>
      <c r="M71" s="57"/>
      <c r="N71" s="57"/>
      <c r="O71" s="57"/>
      <c r="P71" s="58"/>
      <c r="Q71" s="63"/>
      <c r="R71" s="64"/>
      <c r="S71" s="64"/>
      <c r="T71" s="64"/>
      <c r="U71" s="65"/>
      <c r="V71" s="63"/>
      <c r="W71" s="64"/>
      <c r="X71" s="64"/>
      <c r="Y71" s="64"/>
      <c r="Z71" s="65"/>
      <c r="AA71" s="48"/>
      <c r="AB71" s="49"/>
      <c r="AC71" s="49"/>
      <c r="AD71" s="49"/>
      <c r="AE71" s="50"/>
    </row>
    <row r="72" spans="1:31" x14ac:dyDescent="0.25">
      <c r="A72" s="71"/>
      <c r="B72" s="71"/>
      <c r="C72" s="71"/>
      <c r="D72" s="71"/>
      <c r="E72" s="51"/>
      <c r="F72" s="66">
        <v>19.260000000000002</v>
      </c>
      <c r="G72" s="67"/>
      <c r="H72" s="67"/>
      <c r="I72" s="67"/>
      <c r="J72" s="68"/>
      <c r="K72" s="59"/>
      <c r="L72" s="59"/>
      <c r="M72" s="59"/>
      <c r="N72" s="59"/>
      <c r="O72" s="59"/>
      <c r="P72" s="60"/>
      <c r="Q72" s="66"/>
      <c r="R72" s="67"/>
      <c r="S72" s="67"/>
      <c r="T72" s="67"/>
      <c r="U72" s="68"/>
      <c r="V72" s="66"/>
      <c r="W72" s="67"/>
      <c r="X72" s="67"/>
      <c r="Y72" s="67"/>
      <c r="Z72" s="68"/>
      <c r="AA72" s="51"/>
      <c r="AB72" s="52"/>
      <c r="AC72" s="52"/>
      <c r="AD72" s="52"/>
      <c r="AE72" s="53"/>
    </row>
    <row r="74" spans="1:31" x14ac:dyDescent="0.25">
      <c r="A74" t="s">
        <v>24</v>
      </c>
    </row>
    <row r="76" spans="1:31" x14ac:dyDescent="0.25">
      <c r="A76" t="s">
        <v>89</v>
      </c>
    </row>
    <row r="77" spans="1:31" x14ac:dyDescent="0.25">
      <c r="A77" t="s">
        <v>90</v>
      </c>
    </row>
    <row r="78" spans="1:31" x14ac:dyDescent="0.25">
      <c r="A78" t="s">
        <v>91</v>
      </c>
    </row>
    <row r="79" spans="1:31" x14ac:dyDescent="0.25">
      <c r="A79" t="s">
        <v>92</v>
      </c>
    </row>
    <row r="80" spans="1:31" x14ac:dyDescent="0.25">
      <c r="A80" t="s">
        <v>93</v>
      </c>
    </row>
    <row r="81" spans="1:29" x14ac:dyDescent="0.25">
      <c r="A81" t="s">
        <v>94</v>
      </c>
    </row>
    <row r="82" spans="1:29" x14ac:dyDescent="0.25">
      <c r="A82" t="s">
        <v>95</v>
      </c>
    </row>
    <row r="86" spans="1:29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25">
      <c r="B87" s="88" t="s">
        <v>35</v>
      </c>
      <c r="C87" s="88"/>
      <c r="D87" s="88"/>
      <c r="E87" s="88"/>
      <c r="F87" s="88"/>
      <c r="G87" s="88"/>
      <c r="H87" s="88"/>
      <c r="I87" s="88"/>
      <c r="J87" s="88"/>
      <c r="K87" s="88"/>
      <c r="T87" s="88" t="s">
        <v>35</v>
      </c>
      <c r="U87" s="88"/>
      <c r="V87" s="88"/>
      <c r="W87" s="88"/>
      <c r="X87" s="88"/>
      <c r="Y87" s="88"/>
      <c r="Z87" s="88"/>
      <c r="AA87" s="88"/>
      <c r="AB87" s="88"/>
      <c r="AC87" s="88"/>
    </row>
    <row r="88" spans="1:29" x14ac:dyDescent="0.25">
      <c r="B88" s="80"/>
      <c r="C88" s="80"/>
      <c r="D88" s="80"/>
      <c r="E88" s="80"/>
      <c r="F88" s="80"/>
      <c r="G88" s="80"/>
      <c r="H88" s="80"/>
      <c r="I88" s="80"/>
      <c r="J88" s="80"/>
      <c r="K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</row>
    <row r="89" spans="1:29" x14ac:dyDescent="0.25">
      <c r="B89" s="88"/>
      <c r="C89" s="88"/>
      <c r="D89" s="88"/>
      <c r="E89" s="88"/>
      <c r="F89" s="88"/>
      <c r="G89" s="88"/>
      <c r="H89" s="88"/>
      <c r="I89" s="88"/>
      <c r="J89" s="88"/>
      <c r="K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</row>
  </sheetData>
  <mergeCells count="84">
    <mergeCell ref="T89:AC89"/>
    <mergeCell ref="F72:J72"/>
    <mergeCell ref="B87:K87"/>
    <mergeCell ref="B88:K88"/>
    <mergeCell ref="B89:K89"/>
    <mergeCell ref="A70:E72"/>
    <mergeCell ref="F71:J71"/>
    <mergeCell ref="F70:J70"/>
    <mergeCell ref="Q70:U72"/>
    <mergeCell ref="V70:Z72"/>
    <mergeCell ref="T87:AC87"/>
    <mergeCell ref="T88:AC88"/>
    <mergeCell ref="F61:J61"/>
    <mergeCell ref="K70:P72"/>
    <mergeCell ref="F59:J59"/>
    <mergeCell ref="F60:J60"/>
    <mergeCell ref="K64:P66"/>
    <mergeCell ref="Q58:U60"/>
    <mergeCell ref="V58:Z60"/>
    <mergeCell ref="K58:P60"/>
    <mergeCell ref="AA70:AE72"/>
    <mergeCell ref="AA58:AE60"/>
    <mergeCell ref="F56:J56"/>
    <mergeCell ref="AA55:AE57"/>
    <mergeCell ref="F67:J67"/>
    <mergeCell ref="F64:J64"/>
    <mergeCell ref="F54:J54"/>
    <mergeCell ref="F58:J58"/>
    <mergeCell ref="Q55:U57"/>
    <mergeCell ref="P32:T32"/>
    <mergeCell ref="U32:W32"/>
    <mergeCell ref="A45:AE45"/>
    <mergeCell ref="A53:AE53"/>
    <mergeCell ref="I32:L32"/>
    <mergeCell ref="Q54:U54"/>
    <mergeCell ref="V54:Z54"/>
    <mergeCell ref="AA54:AE54"/>
    <mergeCell ref="A54:E54"/>
    <mergeCell ref="K54:P54"/>
    <mergeCell ref="F57:J57"/>
    <mergeCell ref="K55:P57"/>
    <mergeCell ref="AA32:AE32"/>
    <mergeCell ref="AA33:AE33"/>
    <mergeCell ref="V55:Z57"/>
    <mergeCell ref="V3:AE3"/>
    <mergeCell ref="V42:AE42"/>
    <mergeCell ref="A9:AE9"/>
    <mergeCell ref="F33:H33"/>
    <mergeCell ref="I33:L33"/>
    <mergeCell ref="M33:O33"/>
    <mergeCell ref="X32:Z32"/>
    <mergeCell ref="P33:T33"/>
    <mergeCell ref="U33:W33"/>
    <mergeCell ref="X33:Z33"/>
    <mergeCell ref="M32:O32"/>
    <mergeCell ref="A32:E32"/>
    <mergeCell ref="A37:AE38"/>
    <mergeCell ref="F32:H32"/>
    <mergeCell ref="A58:E60"/>
    <mergeCell ref="J5:N5"/>
    <mergeCell ref="K67:P69"/>
    <mergeCell ref="I15:N15"/>
    <mergeCell ref="A33:E33"/>
    <mergeCell ref="A67:E69"/>
    <mergeCell ref="F68:J68"/>
    <mergeCell ref="F69:J69"/>
    <mergeCell ref="A64:E66"/>
    <mergeCell ref="F65:J65"/>
    <mergeCell ref="F66:J66"/>
    <mergeCell ref="A61:E63"/>
    <mergeCell ref="F62:J62"/>
    <mergeCell ref="F63:J63"/>
    <mergeCell ref="F55:J55"/>
    <mergeCell ref="A55:E57"/>
    <mergeCell ref="AA61:AE63"/>
    <mergeCell ref="AA64:AE66"/>
    <mergeCell ref="AA67:AE69"/>
    <mergeCell ref="K61:P63"/>
    <mergeCell ref="V61:Z63"/>
    <mergeCell ref="V64:Z66"/>
    <mergeCell ref="V67:Z69"/>
    <mergeCell ref="Q61:U63"/>
    <mergeCell ref="Q64:U66"/>
    <mergeCell ref="Q67:U69"/>
  </mergeCells>
  <phoneticPr fontId="2" type="noConversion"/>
  <pageMargins left="0.78740157480314965" right="0.78740157480314965" top="0.59055118110236227" bottom="0.98425196850393704" header="0" footer="0"/>
  <pageSetup orientation="portrait" r:id="rId1"/>
  <headerFooter alignWithMargins="0">
    <oddHeader xml:space="preserve">&amp;R
</oddHeader>
    <oddFooter>&amp;LSistema de Calidad CETI Inspecciones Ltda.
Camino a Melipilla #7060, Cerrillos Stgo. Fono (56-2) 5303181&amp;RPág.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1BB1-FA38-4527-A575-CD3240F2DAF3}">
  <dimension ref="B5:I58"/>
  <sheetViews>
    <sheetView tabSelected="1" topLeftCell="A10" zoomScale="130" zoomScaleNormal="130" workbookViewId="0">
      <selection activeCell="E24" sqref="E24"/>
    </sheetView>
  </sheetViews>
  <sheetFormatPr baseColWidth="10" defaultColWidth="9.109375" defaultRowHeight="13.2" x14ac:dyDescent="0.25"/>
  <cols>
    <col min="1" max="1" width="9.109375" style="5" customWidth="1"/>
    <col min="2" max="2" width="12.33203125" style="5" customWidth="1"/>
    <col min="3" max="8" width="15.5546875" style="5" bestFit="1" customWidth="1"/>
    <col min="9" max="16384" width="9.109375" style="5"/>
  </cols>
  <sheetData>
    <row r="5" spans="2:9" x14ac:dyDescent="0.25">
      <c r="B5" s="91" t="s">
        <v>96</v>
      </c>
      <c r="C5" s="91"/>
      <c r="D5" s="91"/>
      <c r="E5" s="91"/>
      <c r="F5" s="91"/>
      <c r="G5" s="91"/>
      <c r="H5" s="91"/>
      <c r="I5" s="91"/>
    </row>
    <row r="6" spans="2:9" x14ac:dyDescent="0.25">
      <c r="B6" s="91"/>
      <c r="C6" s="91"/>
      <c r="D6" s="91"/>
      <c r="E6" s="91"/>
      <c r="F6" s="91"/>
      <c r="G6" s="91"/>
      <c r="H6" s="91"/>
      <c r="I6" s="91"/>
    </row>
    <row r="8" spans="2:9" x14ac:dyDescent="0.25">
      <c r="B8" s="4" t="s">
        <v>38</v>
      </c>
    </row>
    <row r="10" spans="2:9" ht="15" customHeight="1" x14ac:dyDescent="0.25">
      <c r="E10" s="5" t="s">
        <v>39</v>
      </c>
      <c r="F10" s="5" t="s">
        <v>109</v>
      </c>
      <c r="H10" s="5" t="s">
        <v>41</v>
      </c>
    </row>
    <row r="11" spans="2:9" ht="15" customHeight="1" x14ac:dyDescent="0.25">
      <c r="F11" s="5" t="s">
        <v>110</v>
      </c>
    </row>
    <row r="12" spans="2:9" ht="15" customHeight="1" x14ac:dyDescent="0.25">
      <c r="F12" s="5" t="s">
        <v>111</v>
      </c>
    </row>
    <row r="14" spans="2:9" x14ac:dyDescent="0.25">
      <c r="G14" s="5" t="s">
        <v>112</v>
      </c>
    </row>
    <row r="15" spans="2:9" x14ac:dyDescent="0.25">
      <c r="G15" s="5" t="s">
        <v>113</v>
      </c>
    </row>
    <row r="18" spans="2:9" x14ac:dyDescent="0.25">
      <c r="E18" s="6" t="s">
        <v>61</v>
      </c>
    </row>
    <row r="24" spans="2:9" x14ac:dyDescent="0.25">
      <c r="E24" s="5" t="s">
        <v>116</v>
      </c>
    </row>
    <row r="25" spans="2:9" ht="17.399999999999999" x14ac:dyDescent="0.3">
      <c r="C25" s="6"/>
      <c r="D25" s="7"/>
      <c r="E25" s="8" t="s">
        <v>115</v>
      </c>
    </row>
    <row r="26" spans="2:9" x14ac:dyDescent="0.25">
      <c r="E26" s="5" t="s">
        <v>114</v>
      </c>
    </row>
    <row r="32" spans="2:9" x14ac:dyDescent="0.25">
      <c r="B32" s="25" t="s">
        <v>108</v>
      </c>
      <c r="C32" s="10">
        <v>2.5399999999999999E-2</v>
      </c>
      <c r="D32" s="30" t="s">
        <v>51</v>
      </c>
      <c r="E32" s="10">
        <v>5.3999999999999999E-2</v>
      </c>
      <c r="I32" s="92"/>
    </row>
    <row r="33" spans="2:9" x14ac:dyDescent="0.25">
      <c r="B33" s="25" t="s">
        <v>52</v>
      </c>
      <c r="C33" s="12">
        <v>3</v>
      </c>
      <c r="D33" s="13">
        <v>3</v>
      </c>
      <c r="E33" s="12">
        <v>3</v>
      </c>
      <c r="F33" s="12">
        <v>3</v>
      </c>
      <c r="G33" s="12">
        <v>3</v>
      </c>
      <c r="H33" s="12">
        <v>3</v>
      </c>
      <c r="I33" s="92"/>
    </row>
    <row r="34" spans="2:9" x14ac:dyDescent="0.25">
      <c r="B34" s="26" t="s">
        <v>53</v>
      </c>
      <c r="C34" s="15">
        <v>1.1100000000000001</v>
      </c>
      <c r="D34" s="15">
        <v>1.1100000000000001</v>
      </c>
      <c r="E34" s="15">
        <v>1.1100000000000001</v>
      </c>
      <c r="F34" s="15">
        <v>1.1100000000000001</v>
      </c>
      <c r="G34" s="15">
        <v>1.1100000000000001</v>
      </c>
      <c r="H34" s="15">
        <v>1.1100000000000001</v>
      </c>
      <c r="I34" s="92"/>
    </row>
    <row r="35" spans="2:9" ht="13.8" thickBot="1" x14ac:dyDescent="0.3">
      <c r="B35" s="27" t="s">
        <v>54</v>
      </c>
      <c r="C35" s="29">
        <v>1</v>
      </c>
      <c r="D35" s="29">
        <v>2</v>
      </c>
      <c r="E35" s="29">
        <v>3</v>
      </c>
      <c r="F35" s="29">
        <v>4</v>
      </c>
      <c r="G35" s="29">
        <v>5</v>
      </c>
      <c r="H35" s="29">
        <v>20</v>
      </c>
    </row>
    <row r="36" spans="2:9" ht="15" thickBot="1" x14ac:dyDescent="0.3">
      <c r="B36" s="27" t="s">
        <v>55</v>
      </c>
      <c r="C36" s="43"/>
      <c r="D36" s="18"/>
      <c r="E36" s="18"/>
      <c r="F36" s="18"/>
      <c r="G36" s="18"/>
      <c r="H36" s="32"/>
    </row>
    <row r="37" spans="2:9" x14ac:dyDescent="0.25">
      <c r="B37" s="27" t="s">
        <v>56</v>
      </c>
      <c r="C37" s="18"/>
      <c r="D37" s="18"/>
      <c r="E37" s="18"/>
      <c r="F37" s="18"/>
      <c r="G37" s="18"/>
      <c r="H37" s="18"/>
    </row>
    <row r="38" spans="2:9" x14ac:dyDescent="0.25">
      <c r="B38" s="27" t="s">
        <v>57</v>
      </c>
      <c r="C38" s="43"/>
      <c r="D38" s="18"/>
      <c r="E38" s="18"/>
      <c r="F38" s="18"/>
      <c r="G38" s="18"/>
      <c r="H38" s="18"/>
    </row>
    <row r="39" spans="2:9" x14ac:dyDescent="0.25">
      <c r="B39" s="27" t="s">
        <v>58</v>
      </c>
      <c r="C39" s="33" t="e">
        <f>STDEV(C36:C38)</f>
        <v>#DIV/0!</v>
      </c>
      <c r="D39" s="33" t="e">
        <f>STDEV(D36:D38)</f>
        <v>#DIV/0!</v>
      </c>
      <c r="E39" s="33" t="e">
        <f t="shared" ref="E39:H39" si="0">STDEV(E36:E38)</f>
        <v>#DIV/0!</v>
      </c>
      <c r="F39" s="33" t="e">
        <f>STDEV(F36:F38)</f>
        <v>#DIV/0!</v>
      </c>
      <c r="G39" s="33" t="e">
        <f t="shared" si="0"/>
        <v>#DIV/0!</v>
      </c>
      <c r="H39" s="33" t="e">
        <f t="shared" si="0"/>
        <v>#DIV/0!</v>
      </c>
    </row>
    <row r="40" spans="2:9" x14ac:dyDescent="0.25">
      <c r="B40" s="27" t="s">
        <v>51</v>
      </c>
      <c r="C40" s="20">
        <f>E32</f>
        <v>5.3999999999999999E-2</v>
      </c>
      <c r="D40" s="20">
        <f>E32</f>
        <v>5.3999999999999999E-2</v>
      </c>
      <c r="E40" s="20">
        <f>E32</f>
        <v>5.3999999999999999E-2</v>
      </c>
      <c r="F40" s="20">
        <f>E32</f>
        <v>5.3999999999999999E-2</v>
      </c>
      <c r="G40" s="20">
        <f>E32</f>
        <v>5.3999999999999999E-2</v>
      </c>
      <c r="H40" s="20">
        <f>E32</f>
        <v>5.3999999999999999E-2</v>
      </c>
    </row>
    <row r="41" spans="2:9" x14ac:dyDescent="0.25">
      <c r="B41" s="27" t="s">
        <v>59</v>
      </c>
      <c r="C41" s="15" t="e">
        <f>(C39*C34)/SQRT(C33)</f>
        <v>#DIV/0!</v>
      </c>
      <c r="D41" s="20" t="e">
        <f t="shared" ref="D41:H41" si="1">(D39*D34)/SQRT(D33)</f>
        <v>#DIV/0!</v>
      </c>
      <c r="E41" s="20" t="e">
        <f t="shared" si="1"/>
        <v>#DIV/0!</v>
      </c>
      <c r="F41" s="20" t="e">
        <f t="shared" si="1"/>
        <v>#DIV/0!</v>
      </c>
      <c r="G41" s="15" t="e">
        <f t="shared" si="1"/>
        <v>#DIV/0!</v>
      </c>
      <c r="H41" s="15" t="e">
        <f t="shared" si="1"/>
        <v>#DIV/0!</v>
      </c>
    </row>
    <row r="42" spans="2:9" x14ac:dyDescent="0.25">
      <c r="B42" s="27" t="s">
        <v>86</v>
      </c>
      <c r="C42" s="21">
        <v>7.0491134194308903E-3</v>
      </c>
      <c r="D42" s="20">
        <v>1.7207847047204902E-2</v>
      </c>
      <c r="E42" s="20">
        <v>8.7789521014753399E-3</v>
      </c>
      <c r="F42" s="20">
        <v>1.72078470472046E-2</v>
      </c>
      <c r="G42" s="20">
        <v>7.0491134194308001E-3</v>
      </c>
      <c r="H42" s="20">
        <v>1.4098226838860915E-2</v>
      </c>
    </row>
    <row r="43" spans="2:9" x14ac:dyDescent="0.25">
      <c r="B43" s="28"/>
      <c r="C43" s="21" t="e">
        <f>POWER(C40,2)+POWER(C41,2)+POWER(C42,2)</f>
        <v>#DIV/0!</v>
      </c>
      <c r="D43" s="21" t="e">
        <f>POWER(D40,2)+POWER(D41,2)+POWER(D42,2)</f>
        <v>#DIV/0!</v>
      </c>
      <c r="E43" s="21" t="e">
        <f t="shared" ref="E43:H43" si="2">POWER(E40,2)+POWER(E41,2)+POWER(E42,2)</f>
        <v>#DIV/0!</v>
      </c>
      <c r="F43" s="21" t="e">
        <f t="shared" si="2"/>
        <v>#DIV/0!</v>
      </c>
      <c r="G43" s="21" t="e">
        <f t="shared" si="2"/>
        <v>#DIV/0!</v>
      </c>
      <c r="H43" s="21" t="e">
        <f t="shared" si="2"/>
        <v>#DIV/0!</v>
      </c>
    </row>
    <row r="44" spans="2:9" x14ac:dyDescent="0.25">
      <c r="B44" s="29"/>
      <c r="C44" s="20" t="e">
        <f>SQRT(C43)</f>
        <v>#DIV/0!</v>
      </c>
      <c r="D44" s="20" t="e">
        <f t="shared" ref="D44:H44" si="3">SQRT(D43)</f>
        <v>#DIV/0!</v>
      </c>
      <c r="E44" s="20" t="e">
        <f t="shared" si="3"/>
        <v>#DIV/0!</v>
      </c>
      <c r="F44" s="20" t="e">
        <f t="shared" si="3"/>
        <v>#DIV/0!</v>
      </c>
      <c r="G44" s="20" t="e">
        <f t="shared" si="3"/>
        <v>#DIV/0!</v>
      </c>
      <c r="H44" s="20" t="e">
        <f t="shared" si="3"/>
        <v>#DIV/0!</v>
      </c>
    </row>
    <row r="45" spans="2:9" x14ac:dyDescent="0.25">
      <c r="B45" s="27" t="s">
        <v>60</v>
      </c>
      <c r="C45" s="33" t="e">
        <f>C44*2</f>
        <v>#DIV/0!</v>
      </c>
      <c r="D45" s="33" t="e">
        <f t="shared" ref="D45:H45" si="4">D44*2</f>
        <v>#DIV/0!</v>
      </c>
      <c r="E45" s="33" t="e">
        <f t="shared" si="4"/>
        <v>#DIV/0!</v>
      </c>
      <c r="F45" s="33" t="e">
        <f t="shared" si="4"/>
        <v>#DIV/0!</v>
      </c>
      <c r="G45" s="33" t="e">
        <f t="shared" si="4"/>
        <v>#DIV/0!</v>
      </c>
      <c r="H45" s="33" t="e">
        <f t="shared" si="4"/>
        <v>#DIV/0!</v>
      </c>
      <c r="I45" s="8" t="s">
        <v>97</v>
      </c>
    </row>
    <row r="46" spans="2:9" x14ac:dyDescent="0.25">
      <c r="B46" s="29" t="s">
        <v>85</v>
      </c>
      <c r="C46" s="31">
        <f>SUM(C36:C38)/3</f>
        <v>0</v>
      </c>
      <c r="D46" s="31">
        <f>SUM(D36:D38)/3</f>
        <v>0</v>
      </c>
      <c r="E46" s="31">
        <f t="shared" ref="E46:H46" si="5">SUM(E36:E38)/3</f>
        <v>0</v>
      </c>
      <c r="F46" s="31">
        <f t="shared" si="5"/>
        <v>0</v>
      </c>
      <c r="G46" s="31">
        <f t="shared" si="5"/>
        <v>0</v>
      </c>
      <c r="H46" s="31">
        <f t="shared" si="5"/>
        <v>0</v>
      </c>
    </row>
    <row r="48" spans="2:9" x14ac:dyDescent="0.25">
      <c r="C48" s="5">
        <v>25</v>
      </c>
      <c r="D48" s="5">
        <v>125</v>
      </c>
      <c r="E48" s="5">
        <v>250</v>
      </c>
      <c r="F48" s="5">
        <v>375</v>
      </c>
      <c r="G48" s="5">
        <v>500</v>
      </c>
    </row>
    <row r="49" spans="2:7" x14ac:dyDescent="0.25">
      <c r="C49" s="5">
        <f>(C48-C46)*100/C48</f>
        <v>100</v>
      </c>
      <c r="D49" s="5">
        <f>(D48-D46)*100/D48</f>
        <v>100</v>
      </c>
      <c r="E49" s="5">
        <f>(E48-E46)*100/E48</f>
        <v>100</v>
      </c>
      <c r="F49" s="5">
        <f>(F48-F46)*100/F48</f>
        <v>100</v>
      </c>
      <c r="G49" s="5">
        <f>(G48-G46)*100/G48</f>
        <v>100</v>
      </c>
    </row>
    <row r="52" spans="2:7" x14ac:dyDescent="0.25">
      <c r="C52" s="44" t="s">
        <v>85</v>
      </c>
      <c r="D52" s="44" t="s">
        <v>106</v>
      </c>
      <c r="E52" s="44" t="s">
        <v>107</v>
      </c>
    </row>
    <row r="53" spans="2:7" x14ac:dyDescent="0.25">
      <c r="B53" s="5">
        <v>1</v>
      </c>
      <c r="C53" s="42">
        <f>ROUND(C46,3)</f>
        <v>0</v>
      </c>
      <c r="D53" s="42" t="e">
        <f>ROUND(C39,3)</f>
        <v>#DIV/0!</v>
      </c>
      <c r="E53" s="42" t="e">
        <f>ROUND(C45,3)</f>
        <v>#DIV/0!</v>
      </c>
      <c r="G53" s="5">
        <f xml:space="preserve"> 0.012*100</f>
        <v>1.2</v>
      </c>
    </row>
    <row r="54" spans="2:7" x14ac:dyDescent="0.25">
      <c r="B54" s="5">
        <v>2</v>
      </c>
      <c r="C54" s="42">
        <f>ROUND(D46,3)</f>
        <v>0</v>
      </c>
      <c r="D54" s="42" t="e">
        <f>ROUND(D39,3)</f>
        <v>#DIV/0!</v>
      </c>
      <c r="E54" s="42" t="e">
        <f>ROUND(D45,3)</f>
        <v>#DIV/0!</v>
      </c>
    </row>
    <row r="55" spans="2:7" x14ac:dyDescent="0.25">
      <c r="B55" s="5">
        <v>3</v>
      </c>
      <c r="C55" s="42">
        <f>ROUND(E46,3)</f>
        <v>0</v>
      </c>
      <c r="D55" s="42" t="e">
        <f>ROUND(E39,3)</f>
        <v>#DIV/0!</v>
      </c>
      <c r="E55" s="42" t="e">
        <f>ROUND(E45,3)</f>
        <v>#DIV/0!</v>
      </c>
    </row>
    <row r="56" spans="2:7" x14ac:dyDescent="0.25">
      <c r="B56" s="5">
        <v>4</v>
      </c>
      <c r="C56" s="42">
        <f>ROUND(F46,3)</f>
        <v>0</v>
      </c>
      <c r="D56" s="42" t="e">
        <f>ROUND(F39,3)</f>
        <v>#DIV/0!</v>
      </c>
      <c r="E56" s="42" t="e">
        <f>ROUND(F45,3)</f>
        <v>#DIV/0!</v>
      </c>
    </row>
    <row r="57" spans="2:7" x14ac:dyDescent="0.25">
      <c r="B57" s="5">
        <v>5</v>
      </c>
      <c r="C57" s="42">
        <f>ROUND(G46,3)</f>
        <v>0</v>
      </c>
      <c r="D57" s="42" t="e">
        <f>ROUND(G39,3)</f>
        <v>#DIV/0!</v>
      </c>
      <c r="E57" s="42" t="e">
        <f>ROUND(G45,3)</f>
        <v>#DIV/0!</v>
      </c>
    </row>
    <row r="58" spans="2:7" x14ac:dyDescent="0.25">
      <c r="D58" s="42"/>
    </row>
  </sheetData>
  <mergeCells count="2">
    <mergeCell ref="B5:I6"/>
    <mergeCell ref="I32:I34"/>
  </mergeCells>
  <phoneticPr fontId="0" type="noConversion"/>
  <pageMargins left="0.75" right="0.75" top="1" bottom="1" header="0" footer="0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6157" r:id="rId4">
          <objectPr defaultSize="0" autoPict="0" r:id="rId5">
            <anchor moveWithCells="1">
              <from>
                <xdr:col>3</xdr:col>
                <xdr:colOff>175260</xdr:colOff>
                <xdr:row>31</xdr:row>
                <xdr:rowOff>7620</xdr:rowOff>
              </from>
              <to>
                <xdr:col>3</xdr:col>
                <xdr:colOff>358140</xdr:colOff>
                <xdr:row>31</xdr:row>
                <xdr:rowOff>190500</xdr:rowOff>
              </to>
            </anchor>
          </objectPr>
        </oleObject>
      </mc:Choice>
      <mc:Fallback>
        <oleObject progId="Equation.3" shapeId="6157" r:id="rId4"/>
      </mc:Fallback>
    </mc:AlternateContent>
    <mc:AlternateContent xmlns:mc="http://schemas.openxmlformats.org/markup-compatibility/2006">
      <mc:Choice Requires="x14">
        <oleObject progId="Equation.3" shapeId="6158" r:id="rId6">
          <objectPr defaultSize="0" autoPict="0" r:id="rId5">
            <anchor moveWithCells="1">
              <from>
                <xdr:col>1</xdr:col>
                <xdr:colOff>167640</xdr:colOff>
                <xdr:row>39</xdr:row>
                <xdr:rowOff>7620</xdr:rowOff>
              </from>
              <to>
                <xdr:col>1</xdr:col>
                <xdr:colOff>350520</xdr:colOff>
                <xdr:row>39</xdr:row>
                <xdr:rowOff>190500</xdr:rowOff>
              </to>
            </anchor>
          </objectPr>
        </oleObject>
      </mc:Choice>
      <mc:Fallback>
        <oleObject progId="Equation.3" shapeId="6158" r:id="rId6"/>
      </mc:Fallback>
    </mc:AlternateContent>
    <mc:AlternateContent xmlns:mc="http://schemas.openxmlformats.org/markup-compatibility/2006">
      <mc:Choice Requires="x14">
        <oleObject progId="Equation.3" shapeId="6159" r:id="rId7">
          <objectPr defaultSize="0" autoPict="0" r:id="rId5">
            <anchor moveWithCells="1">
              <from>
                <xdr:col>1</xdr:col>
                <xdr:colOff>167640</xdr:colOff>
                <xdr:row>40</xdr:row>
                <xdr:rowOff>7620</xdr:rowOff>
              </from>
              <to>
                <xdr:col>1</xdr:col>
                <xdr:colOff>342900</xdr:colOff>
                <xdr:row>41</xdr:row>
                <xdr:rowOff>0</xdr:rowOff>
              </to>
            </anchor>
          </objectPr>
        </oleObject>
      </mc:Choice>
      <mc:Fallback>
        <oleObject progId="Equation.3" shapeId="6159" r:id="rId7"/>
      </mc:Fallback>
    </mc:AlternateContent>
    <mc:AlternateContent xmlns:mc="http://schemas.openxmlformats.org/markup-compatibility/2006">
      <mc:Choice Requires="x14">
        <oleObject progId="Equation.3" shapeId="6160" r:id="rId8">
          <objectPr defaultSize="0" autoPict="0" r:id="rId9">
            <anchor moveWithCells="1">
              <from>
                <xdr:col>1</xdr:col>
                <xdr:colOff>304800</xdr:colOff>
                <xdr:row>42</xdr:row>
                <xdr:rowOff>7620</xdr:rowOff>
              </from>
              <to>
                <xdr:col>1</xdr:col>
                <xdr:colOff>548640</xdr:colOff>
                <xdr:row>43</xdr:row>
                <xdr:rowOff>0</xdr:rowOff>
              </to>
            </anchor>
          </objectPr>
        </oleObject>
      </mc:Choice>
      <mc:Fallback>
        <oleObject progId="Equation.3" shapeId="6160" r:id="rId8"/>
      </mc:Fallback>
    </mc:AlternateContent>
    <mc:AlternateContent xmlns:mc="http://schemas.openxmlformats.org/markup-compatibility/2006">
      <mc:Choice Requires="x14">
        <oleObject progId="Equation.3" shapeId="6161" r:id="rId10">
          <objectPr defaultSize="0" autoPict="0" r:id="rId5">
            <anchor moveWithCells="1">
              <from>
                <xdr:col>1</xdr:col>
                <xdr:colOff>304800</xdr:colOff>
                <xdr:row>43</xdr:row>
                <xdr:rowOff>7620</xdr:rowOff>
              </from>
              <to>
                <xdr:col>1</xdr:col>
                <xdr:colOff>472440</xdr:colOff>
                <xdr:row>44</xdr:row>
                <xdr:rowOff>0</xdr:rowOff>
              </to>
            </anchor>
          </objectPr>
        </oleObject>
      </mc:Choice>
      <mc:Fallback>
        <oleObject progId="Equation.3" shapeId="6161" r:id="rId10"/>
      </mc:Fallback>
    </mc:AlternateContent>
    <mc:AlternateContent xmlns:mc="http://schemas.openxmlformats.org/markup-compatibility/2006">
      <mc:Choice Requires="x14">
        <oleObject progId="Equation.3" shapeId="6162" r:id="rId11">
          <objectPr defaultSize="0" autoPict="0" r:id="rId5">
            <anchor moveWithCells="1">
              <from>
                <xdr:col>1</xdr:col>
                <xdr:colOff>167640</xdr:colOff>
                <xdr:row>41</xdr:row>
                <xdr:rowOff>7620</xdr:rowOff>
              </from>
              <to>
                <xdr:col>1</xdr:col>
                <xdr:colOff>342900</xdr:colOff>
                <xdr:row>42</xdr:row>
                <xdr:rowOff>0</xdr:rowOff>
              </to>
            </anchor>
          </objectPr>
        </oleObject>
      </mc:Choice>
      <mc:Fallback>
        <oleObject progId="Equation.3" shapeId="6162" r:id="rId11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7082-033A-45CD-987F-DAE69537A039}">
  <dimension ref="A3:AF105"/>
  <sheetViews>
    <sheetView workbookViewId="0">
      <selection activeCell="AO9" sqref="AO9"/>
    </sheetView>
  </sheetViews>
  <sheetFormatPr baseColWidth="10" defaultColWidth="2.6640625" defaultRowHeight="13.2" x14ac:dyDescent="0.25"/>
  <cols>
    <col min="1" max="4" width="2.6640625" customWidth="1"/>
    <col min="5" max="5" width="2.109375" customWidth="1"/>
    <col min="6" max="6" width="2.6640625" customWidth="1"/>
    <col min="7" max="7" width="5.6640625" customWidth="1"/>
    <col min="8" max="18" width="2.6640625" customWidth="1"/>
    <col min="19" max="19" width="3.33203125" customWidth="1"/>
    <col min="20" max="20" width="1.5546875" customWidth="1"/>
    <col min="21" max="21" width="2.6640625" customWidth="1"/>
    <col min="22" max="22" width="3.33203125" customWidth="1"/>
    <col min="23" max="23" width="4.5546875" customWidth="1"/>
    <col min="24" max="25" width="2.6640625" customWidth="1"/>
    <col min="26" max="26" width="3.109375" customWidth="1"/>
    <col min="27" max="27" width="3.33203125" customWidth="1"/>
  </cols>
  <sheetData>
    <row r="3" spans="1:32" ht="15" x14ac:dyDescent="0.25">
      <c r="V3" s="74"/>
      <c r="W3" s="74"/>
      <c r="X3" s="74"/>
      <c r="Y3" s="74"/>
      <c r="Z3" s="74"/>
      <c r="AA3" s="74"/>
      <c r="AB3" s="74"/>
      <c r="AC3" s="74"/>
      <c r="AD3" s="74"/>
      <c r="AE3" s="74"/>
    </row>
    <row r="4" spans="1:32" ht="15" x14ac:dyDescent="0.25"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2" x14ac:dyDescent="0.25">
      <c r="K5" s="1" t="s">
        <v>0</v>
      </c>
      <c r="O5" s="1"/>
      <c r="R5" t="s">
        <v>2</v>
      </c>
      <c r="S5" s="72">
        <v>39357</v>
      </c>
      <c r="T5" s="72"/>
      <c r="U5" s="72"/>
      <c r="V5" s="72"/>
      <c r="W5" s="72"/>
    </row>
    <row r="6" spans="1:32" ht="6" customHeight="1" x14ac:dyDescent="0.25">
      <c r="K6" s="1"/>
      <c r="O6" s="1"/>
      <c r="X6" s="22"/>
      <c r="Y6" s="22"/>
      <c r="Z6" s="22"/>
    </row>
    <row r="7" spans="1:32" ht="12.75" customHeight="1" x14ac:dyDescent="0.25">
      <c r="K7" s="1" t="s">
        <v>1</v>
      </c>
      <c r="O7" s="1"/>
      <c r="R7" t="s">
        <v>2</v>
      </c>
      <c r="S7" t="s">
        <v>87</v>
      </c>
    </row>
    <row r="9" spans="1:32" ht="17.399999999999999" x14ac:dyDescent="0.3">
      <c r="A9" s="75" t="s">
        <v>19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3"/>
    </row>
    <row r="11" spans="1:32" x14ac:dyDescent="0.25">
      <c r="A11" s="1" t="s">
        <v>3</v>
      </c>
      <c r="B11" s="1"/>
      <c r="C11" s="1"/>
      <c r="D11" s="1"/>
      <c r="E11" s="1"/>
      <c r="F11" s="1"/>
      <c r="G11" s="1"/>
      <c r="H11" s="1" t="s">
        <v>2</v>
      </c>
      <c r="I11" t="s">
        <v>20</v>
      </c>
    </row>
    <row r="12" spans="1:32" ht="6" customHeight="1" x14ac:dyDescent="0.25"/>
    <row r="13" spans="1:32" x14ac:dyDescent="0.25">
      <c r="A13" s="1" t="s">
        <v>4</v>
      </c>
      <c r="B13" s="1"/>
      <c r="C13" s="1"/>
      <c r="D13" s="1"/>
      <c r="E13" s="1"/>
      <c r="F13" s="1"/>
      <c r="G13" s="1"/>
      <c r="H13" s="1" t="s">
        <v>2</v>
      </c>
      <c r="I13" t="s">
        <v>27</v>
      </c>
    </row>
    <row r="14" spans="1:32" ht="6" customHeight="1" x14ac:dyDescent="0.25"/>
    <row r="15" spans="1:32" x14ac:dyDescent="0.25">
      <c r="A15" s="1" t="s">
        <v>5</v>
      </c>
      <c r="B15" s="1"/>
      <c r="C15" s="1"/>
      <c r="D15" s="1"/>
      <c r="E15" s="1"/>
      <c r="F15" s="1"/>
      <c r="G15" s="1"/>
      <c r="H15" s="1" t="s">
        <v>2</v>
      </c>
      <c r="I15" s="72">
        <v>39357</v>
      </c>
      <c r="J15" s="72"/>
      <c r="K15" s="72"/>
      <c r="L15" s="72"/>
      <c r="M15" s="72"/>
      <c r="N15" s="72"/>
    </row>
    <row r="16" spans="1:32" ht="12.75" customHeight="1" x14ac:dyDescent="0.25"/>
    <row r="17" spans="1:32" x14ac:dyDescent="0.25">
      <c r="A17" s="1" t="s">
        <v>6</v>
      </c>
      <c r="B17" s="1"/>
      <c r="C17" s="1"/>
      <c r="D17" s="1"/>
      <c r="E17" s="1"/>
      <c r="F17" s="1"/>
      <c r="G17" s="1"/>
      <c r="H17" s="1"/>
    </row>
    <row r="18" spans="1:32" ht="6" customHeight="1" x14ac:dyDescent="0.25"/>
    <row r="19" spans="1:32" x14ac:dyDescent="0.25">
      <c r="A19" s="1" t="s">
        <v>7</v>
      </c>
      <c r="B19" s="1"/>
      <c r="C19" s="1"/>
      <c r="D19" s="1"/>
      <c r="E19" s="1"/>
      <c r="F19" s="1"/>
      <c r="G19" s="1"/>
      <c r="H19" s="1" t="s">
        <v>2</v>
      </c>
      <c r="I19" t="s">
        <v>62</v>
      </c>
    </row>
    <row r="20" spans="1:32" ht="5.25" customHeight="1" x14ac:dyDescent="0.25"/>
    <row r="21" spans="1:32" x14ac:dyDescent="0.25">
      <c r="A21" s="1" t="s">
        <v>25</v>
      </c>
      <c r="B21" s="1"/>
      <c r="C21" s="1"/>
      <c r="D21" s="1"/>
      <c r="E21" s="1"/>
      <c r="F21" s="1"/>
      <c r="G21" s="1"/>
      <c r="H21" s="1" t="s">
        <v>2</v>
      </c>
      <c r="I21" t="s">
        <v>31</v>
      </c>
    </row>
    <row r="22" spans="1:32" ht="6" customHeight="1" x14ac:dyDescent="0.25"/>
    <row r="23" spans="1:32" x14ac:dyDescent="0.25">
      <c r="A23" s="1" t="s">
        <v>8</v>
      </c>
      <c r="B23" s="1"/>
      <c r="C23" s="1"/>
      <c r="D23" s="1"/>
      <c r="E23" s="1"/>
      <c r="F23" s="1"/>
      <c r="G23" s="1"/>
      <c r="H23" s="1" t="s">
        <v>2</v>
      </c>
      <c r="I23" t="s">
        <v>30</v>
      </c>
    </row>
    <row r="24" spans="1:32" ht="6" customHeight="1" x14ac:dyDescent="0.25"/>
    <row r="25" spans="1:32" x14ac:dyDescent="0.25">
      <c r="A25" s="1" t="s">
        <v>9</v>
      </c>
      <c r="B25" s="1"/>
      <c r="C25" s="1"/>
      <c r="D25" s="1"/>
      <c r="E25" s="1"/>
      <c r="F25" s="1"/>
      <c r="G25" s="1"/>
      <c r="H25" s="1" t="s">
        <v>2</v>
      </c>
      <c r="I25" t="s">
        <v>32</v>
      </c>
    </row>
    <row r="26" spans="1:32" ht="6" customHeight="1" x14ac:dyDescent="0.25"/>
    <row r="27" spans="1:32" x14ac:dyDescent="0.25">
      <c r="A27" s="1" t="s">
        <v>10</v>
      </c>
      <c r="B27" s="1"/>
      <c r="C27" s="1"/>
      <c r="D27" s="1"/>
      <c r="E27" s="1"/>
      <c r="F27" s="1"/>
      <c r="G27" s="1"/>
      <c r="H27" s="1" t="s">
        <v>2</v>
      </c>
      <c r="I27" t="s">
        <v>63</v>
      </c>
    </row>
    <row r="28" spans="1:32" ht="6" customHeight="1" x14ac:dyDescent="0.25">
      <c r="A28" s="1"/>
      <c r="B28" s="1"/>
      <c r="C28" s="1"/>
      <c r="D28" s="1"/>
      <c r="E28" s="1"/>
      <c r="F28" s="1"/>
      <c r="G28" s="1"/>
      <c r="H28" s="1"/>
    </row>
    <row r="30" spans="1:32" x14ac:dyDescent="0.25">
      <c r="A30" s="1" t="s">
        <v>11</v>
      </c>
    </row>
    <row r="31" spans="1:32" ht="24.75" customHeight="1" x14ac:dyDescent="0.25">
      <c r="A31" s="77" t="s">
        <v>12</v>
      </c>
      <c r="B31" s="77"/>
      <c r="C31" s="77"/>
      <c r="D31" s="77"/>
      <c r="E31" s="77"/>
      <c r="F31" s="77" t="s">
        <v>13</v>
      </c>
      <c r="G31" s="77"/>
      <c r="H31" s="77"/>
      <c r="I31" s="77" t="s">
        <v>14</v>
      </c>
      <c r="J31" s="77"/>
      <c r="K31" s="77"/>
      <c r="L31" s="77"/>
      <c r="M31" s="77" t="s">
        <v>15</v>
      </c>
      <c r="N31" s="77"/>
      <c r="O31" s="77"/>
      <c r="P31" s="77" t="s">
        <v>1</v>
      </c>
      <c r="Q31" s="77"/>
      <c r="R31" s="77"/>
      <c r="S31" s="77"/>
      <c r="T31" s="77"/>
      <c r="U31" s="77" t="s">
        <v>16</v>
      </c>
      <c r="V31" s="77"/>
      <c r="W31" s="77"/>
      <c r="X31" s="77" t="s">
        <v>17</v>
      </c>
      <c r="Y31" s="77"/>
      <c r="Z31" s="77"/>
      <c r="AA31" s="77" t="s">
        <v>18</v>
      </c>
      <c r="AB31" s="77"/>
      <c r="AC31" s="77"/>
      <c r="AD31" s="77"/>
      <c r="AE31" s="77"/>
      <c r="AF31" s="1"/>
    </row>
    <row r="32" spans="1:32" ht="24.75" customHeight="1" x14ac:dyDescent="0.25">
      <c r="A32" s="93" t="s">
        <v>70</v>
      </c>
      <c r="B32" s="93"/>
      <c r="C32" s="93"/>
      <c r="D32" s="93"/>
      <c r="E32" s="93"/>
      <c r="F32" s="79" t="s">
        <v>71</v>
      </c>
      <c r="G32" s="79"/>
      <c r="H32" s="79"/>
      <c r="I32" s="93" t="s">
        <v>72</v>
      </c>
      <c r="J32" s="93"/>
      <c r="K32" s="93"/>
      <c r="L32" s="93"/>
      <c r="M32" s="93">
        <v>8105622</v>
      </c>
      <c r="N32" s="93"/>
      <c r="O32" s="93"/>
      <c r="P32" s="93" t="s">
        <v>73</v>
      </c>
      <c r="Q32" s="93"/>
      <c r="R32" s="93"/>
      <c r="S32" s="93"/>
      <c r="T32" s="93"/>
      <c r="U32" s="94">
        <v>39584</v>
      </c>
      <c r="V32" s="93"/>
      <c r="W32" s="93"/>
      <c r="X32" s="79" t="s">
        <v>69</v>
      </c>
      <c r="Y32" s="79"/>
      <c r="Z32" s="79"/>
      <c r="AA32" s="79" t="s">
        <v>68</v>
      </c>
      <c r="AB32" s="79"/>
      <c r="AC32" s="79"/>
      <c r="AD32" s="79"/>
      <c r="AE32" s="79"/>
    </row>
    <row r="33" spans="1:31" ht="27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4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52" spans="1:32" x14ac:dyDescent="0.25">
      <c r="A52" s="85" t="s">
        <v>29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</row>
    <row r="53" spans="1:32" x14ac:dyDescent="0.2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</row>
    <row r="57" spans="1:32" ht="15" x14ac:dyDescent="0.25">
      <c r="V57" s="74" t="s">
        <v>20</v>
      </c>
      <c r="W57" s="74"/>
      <c r="X57" s="74"/>
      <c r="Y57" s="74"/>
      <c r="Z57" s="74"/>
      <c r="AA57" s="74"/>
      <c r="AB57" s="74"/>
      <c r="AC57" s="74"/>
      <c r="AD57" s="74"/>
      <c r="AE57" s="74"/>
    </row>
    <row r="58" spans="1:32" ht="15" x14ac:dyDescent="0.25"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 spans="1:32" ht="15.75" customHeight="1" x14ac:dyDescent="0.25"/>
    <row r="60" spans="1:32" ht="17.399999999999999" x14ac:dyDescent="0.3">
      <c r="A60" s="75" t="s">
        <v>19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3"/>
    </row>
    <row r="62" spans="1:32" x14ac:dyDescent="0.25">
      <c r="A62" s="1" t="s">
        <v>26</v>
      </c>
      <c r="I62" s="1" t="s">
        <v>2</v>
      </c>
      <c r="J62" t="s">
        <v>74</v>
      </c>
    </row>
    <row r="63" spans="1:32" ht="6" customHeight="1" x14ac:dyDescent="0.25">
      <c r="A63" s="1"/>
      <c r="I63" s="1"/>
    </row>
    <row r="64" spans="1:32" x14ac:dyDescent="0.25">
      <c r="A64" s="1" t="s">
        <v>21</v>
      </c>
      <c r="I64" s="1" t="s">
        <v>2</v>
      </c>
      <c r="J64" t="s">
        <v>75</v>
      </c>
    </row>
    <row r="65" spans="1:31" ht="6" customHeight="1" x14ac:dyDescent="0.25">
      <c r="A65" s="1"/>
      <c r="I65" s="1"/>
    </row>
    <row r="66" spans="1:31" x14ac:dyDescent="0.25">
      <c r="A66" s="1" t="s">
        <v>22</v>
      </c>
      <c r="I66" s="1" t="s">
        <v>2</v>
      </c>
      <c r="J66" t="s">
        <v>76</v>
      </c>
    </row>
    <row r="68" spans="1:31" x14ac:dyDescent="0.25">
      <c r="A68" s="80" t="s">
        <v>23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</row>
    <row r="69" spans="1:31" ht="51.75" customHeight="1" x14ac:dyDescent="0.25">
      <c r="A69" s="82" t="s">
        <v>64</v>
      </c>
      <c r="B69" s="83"/>
      <c r="C69" s="83"/>
      <c r="D69" s="83"/>
      <c r="E69" s="84"/>
      <c r="F69" s="87" t="s">
        <v>65</v>
      </c>
      <c r="G69" s="87"/>
      <c r="H69" s="87"/>
      <c r="I69" s="87"/>
      <c r="J69" s="87"/>
      <c r="K69" s="81" t="s">
        <v>66</v>
      </c>
      <c r="L69" s="81"/>
      <c r="M69" s="81"/>
      <c r="N69" s="81"/>
      <c r="O69" s="81"/>
      <c r="P69" s="81"/>
      <c r="Q69" s="81" t="s">
        <v>83</v>
      </c>
      <c r="R69" s="81"/>
      <c r="S69" s="81"/>
      <c r="T69" s="81"/>
      <c r="U69" s="81"/>
      <c r="V69" s="81" t="s">
        <v>67</v>
      </c>
      <c r="W69" s="81"/>
      <c r="X69" s="81"/>
      <c r="Y69" s="81"/>
      <c r="Z69" s="81"/>
      <c r="AA69" s="82" t="s">
        <v>84</v>
      </c>
      <c r="AB69" s="83"/>
      <c r="AC69" s="83"/>
      <c r="AD69" s="83"/>
      <c r="AE69" s="84"/>
    </row>
    <row r="70" spans="1:31" x14ac:dyDescent="0.25">
      <c r="A70" s="69" t="s">
        <v>77</v>
      </c>
      <c r="B70" s="69"/>
      <c r="C70" s="69"/>
      <c r="D70" s="69"/>
      <c r="E70" s="45"/>
      <c r="F70" s="61">
        <v>2.46</v>
      </c>
      <c r="G70" s="54"/>
      <c r="H70" s="54"/>
      <c r="I70" s="54"/>
      <c r="J70" s="62"/>
      <c r="K70" s="54">
        <f>SUM(F70:J72)/3</f>
        <v>2.4633333333333334</v>
      </c>
      <c r="L70" s="55"/>
      <c r="M70" s="55"/>
      <c r="N70" s="55"/>
      <c r="O70" s="55"/>
      <c r="P70" s="56"/>
      <c r="Q70" s="61">
        <v>5.7735026918963907E-3</v>
      </c>
      <c r="R70" s="54"/>
      <c r="S70" s="54"/>
      <c r="T70" s="54"/>
      <c r="U70" s="62"/>
      <c r="V70" s="61">
        <v>1.4098226838861777E-2</v>
      </c>
      <c r="W70" s="54"/>
      <c r="X70" s="54"/>
      <c r="Y70" s="54"/>
      <c r="Z70" s="62"/>
      <c r="AA70" s="45"/>
      <c r="AB70" s="46"/>
      <c r="AC70" s="46"/>
      <c r="AD70" s="46"/>
      <c r="AE70" s="47"/>
    </row>
    <row r="71" spans="1:31" x14ac:dyDescent="0.25">
      <c r="A71" s="70"/>
      <c r="B71" s="70"/>
      <c r="C71" s="70"/>
      <c r="D71" s="70"/>
      <c r="E71" s="48"/>
      <c r="F71" s="63">
        <v>2.46</v>
      </c>
      <c r="G71" s="64"/>
      <c r="H71" s="64"/>
      <c r="I71" s="64"/>
      <c r="J71" s="65"/>
      <c r="K71" s="57"/>
      <c r="L71" s="57"/>
      <c r="M71" s="57"/>
      <c r="N71" s="57"/>
      <c r="O71" s="57"/>
      <c r="P71" s="58"/>
      <c r="Q71" s="63"/>
      <c r="R71" s="64"/>
      <c r="S71" s="64"/>
      <c r="T71" s="64"/>
      <c r="U71" s="65"/>
      <c r="V71" s="63"/>
      <c r="W71" s="64"/>
      <c r="X71" s="64"/>
      <c r="Y71" s="64"/>
      <c r="Z71" s="65"/>
      <c r="AA71" s="48"/>
      <c r="AB71" s="49"/>
      <c r="AC71" s="49"/>
      <c r="AD71" s="49"/>
      <c r="AE71" s="50"/>
    </row>
    <row r="72" spans="1:31" x14ac:dyDescent="0.25">
      <c r="A72" s="71"/>
      <c r="B72" s="71"/>
      <c r="C72" s="71"/>
      <c r="D72" s="71"/>
      <c r="E72" s="51"/>
      <c r="F72" s="63">
        <v>2.4700000000000002</v>
      </c>
      <c r="G72" s="64"/>
      <c r="H72" s="64"/>
      <c r="I72" s="64"/>
      <c r="J72" s="65"/>
      <c r="K72" s="59"/>
      <c r="L72" s="59"/>
      <c r="M72" s="59"/>
      <c r="N72" s="59"/>
      <c r="O72" s="59"/>
      <c r="P72" s="60"/>
      <c r="Q72" s="66"/>
      <c r="R72" s="67"/>
      <c r="S72" s="67"/>
      <c r="T72" s="67"/>
      <c r="U72" s="68"/>
      <c r="V72" s="66"/>
      <c r="W72" s="67"/>
      <c r="X72" s="67"/>
      <c r="Y72" s="67"/>
      <c r="Z72" s="68"/>
      <c r="AA72" s="51"/>
      <c r="AB72" s="52"/>
      <c r="AC72" s="52"/>
      <c r="AD72" s="52"/>
      <c r="AE72" s="53"/>
    </row>
    <row r="73" spans="1:31" x14ac:dyDescent="0.25">
      <c r="A73" s="69" t="s">
        <v>78</v>
      </c>
      <c r="B73" s="69"/>
      <c r="C73" s="69"/>
      <c r="D73" s="69"/>
      <c r="E73" s="45"/>
      <c r="F73" s="61">
        <v>4.97</v>
      </c>
      <c r="G73" s="54"/>
      <c r="H73" s="54"/>
      <c r="I73" s="54"/>
      <c r="J73" s="62"/>
      <c r="K73" s="54">
        <f>SUM(F73:J75)/3</f>
        <v>4.9733333333333336</v>
      </c>
      <c r="L73" s="55"/>
      <c r="M73" s="55"/>
      <c r="N73" s="55"/>
      <c r="O73" s="55"/>
      <c r="P73" s="56"/>
      <c r="Q73" s="61">
        <v>2.5166114784235766E-2</v>
      </c>
      <c r="R73" s="54"/>
      <c r="S73" s="54"/>
      <c r="T73" s="54"/>
      <c r="U73" s="62"/>
      <c r="V73" s="61">
        <v>3.4415694094409817E-2</v>
      </c>
      <c r="W73" s="54"/>
      <c r="X73" s="54"/>
      <c r="Y73" s="54"/>
      <c r="Z73" s="62"/>
      <c r="AA73" s="45"/>
      <c r="AB73" s="46"/>
      <c r="AC73" s="46"/>
      <c r="AD73" s="46"/>
      <c r="AE73" s="47"/>
    </row>
    <row r="74" spans="1:31" x14ac:dyDescent="0.25">
      <c r="A74" s="70"/>
      <c r="B74" s="70"/>
      <c r="C74" s="70"/>
      <c r="D74" s="70"/>
      <c r="E74" s="48"/>
      <c r="F74" s="63">
        <v>4.95</v>
      </c>
      <c r="G74" s="64"/>
      <c r="H74" s="64"/>
      <c r="I74" s="64"/>
      <c r="J74" s="65"/>
      <c r="K74" s="57"/>
      <c r="L74" s="57"/>
      <c r="M74" s="57"/>
      <c r="N74" s="57"/>
      <c r="O74" s="57"/>
      <c r="P74" s="58"/>
      <c r="Q74" s="63"/>
      <c r="R74" s="64"/>
      <c r="S74" s="64"/>
      <c r="T74" s="64"/>
      <c r="U74" s="65"/>
      <c r="V74" s="63"/>
      <c r="W74" s="64"/>
      <c r="X74" s="64"/>
      <c r="Y74" s="64"/>
      <c r="Z74" s="65"/>
      <c r="AA74" s="48"/>
      <c r="AB74" s="49"/>
      <c r="AC74" s="49"/>
      <c r="AD74" s="49"/>
      <c r="AE74" s="50"/>
    </row>
    <row r="75" spans="1:31" x14ac:dyDescent="0.25">
      <c r="A75" s="71"/>
      <c r="B75" s="71"/>
      <c r="C75" s="71"/>
      <c r="D75" s="71"/>
      <c r="E75" s="51"/>
      <c r="F75" s="63">
        <v>5</v>
      </c>
      <c r="G75" s="64"/>
      <c r="H75" s="64"/>
      <c r="I75" s="64"/>
      <c r="J75" s="65"/>
      <c r="K75" s="59"/>
      <c r="L75" s="59"/>
      <c r="M75" s="59"/>
      <c r="N75" s="59"/>
      <c r="O75" s="59"/>
      <c r="P75" s="60"/>
      <c r="Q75" s="66"/>
      <c r="R75" s="67"/>
      <c r="S75" s="67"/>
      <c r="T75" s="67"/>
      <c r="U75" s="68"/>
      <c r="V75" s="66"/>
      <c r="W75" s="67"/>
      <c r="X75" s="67"/>
      <c r="Y75" s="67"/>
      <c r="Z75" s="68"/>
      <c r="AA75" s="51"/>
      <c r="AB75" s="52"/>
      <c r="AC75" s="52"/>
      <c r="AD75" s="52"/>
      <c r="AE75" s="53"/>
    </row>
    <row r="76" spans="1:31" x14ac:dyDescent="0.25">
      <c r="A76" s="69" t="s">
        <v>79</v>
      </c>
      <c r="B76" s="69"/>
      <c r="C76" s="69"/>
      <c r="D76" s="69"/>
      <c r="E76" s="45"/>
      <c r="F76" s="61">
        <v>7.48</v>
      </c>
      <c r="G76" s="54"/>
      <c r="H76" s="54"/>
      <c r="I76" s="54"/>
      <c r="J76" s="62"/>
      <c r="K76" s="54">
        <f>SUM(F76:J78)/3</f>
        <v>7.4899999999999993</v>
      </c>
      <c r="L76" s="55"/>
      <c r="M76" s="55"/>
      <c r="N76" s="55"/>
      <c r="O76" s="55"/>
      <c r="P76" s="56"/>
      <c r="Q76" s="61">
        <v>9.9999999999997868E-3</v>
      </c>
      <c r="R76" s="54"/>
      <c r="S76" s="54"/>
      <c r="T76" s="54"/>
      <c r="U76" s="62"/>
      <c r="V76" s="61">
        <v>1.7557904202950676E-2</v>
      </c>
      <c r="W76" s="54"/>
      <c r="X76" s="54"/>
      <c r="Y76" s="54"/>
      <c r="Z76" s="62"/>
      <c r="AA76" s="45"/>
      <c r="AB76" s="46"/>
      <c r="AC76" s="46"/>
      <c r="AD76" s="46"/>
      <c r="AE76" s="47"/>
    </row>
    <row r="77" spans="1:31" x14ac:dyDescent="0.25">
      <c r="A77" s="70"/>
      <c r="B77" s="70"/>
      <c r="C77" s="70"/>
      <c r="D77" s="70"/>
      <c r="E77" s="48"/>
      <c r="F77" s="63">
        <v>7.49</v>
      </c>
      <c r="G77" s="64"/>
      <c r="H77" s="64"/>
      <c r="I77" s="64"/>
      <c r="J77" s="65"/>
      <c r="K77" s="57"/>
      <c r="L77" s="57"/>
      <c r="M77" s="57"/>
      <c r="N77" s="57"/>
      <c r="O77" s="57"/>
      <c r="P77" s="58"/>
      <c r="Q77" s="63"/>
      <c r="R77" s="64"/>
      <c r="S77" s="64"/>
      <c r="T77" s="64"/>
      <c r="U77" s="65"/>
      <c r="V77" s="63"/>
      <c r="W77" s="64"/>
      <c r="X77" s="64"/>
      <c r="Y77" s="64"/>
      <c r="Z77" s="65"/>
      <c r="AA77" s="48"/>
      <c r="AB77" s="49"/>
      <c r="AC77" s="49"/>
      <c r="AD77" s="49"/>
      <c r="AE77" s="50"/>
    </row>
    <row r="78" spans="1:31" x14ac:dyDescent="0.25">
      <c r="A78" s="71"/>
      <c r="B78" s="71"/>
      <c r="C78" s="71"/>
      <c r="D78" s="71"/>
      <c r="E78" s="51"/>
      <c r="F78" s="63">
        <v>7.5</v>
      </c>
      <c r="G78" s="64"/>
      <c r="H78" s="64"/>
      <c r="I78" s="64"/>
      <c r="J78" s="65"/>
      <c r="K78" s="59"/>
      <c r="L78" s="59"/>
      <c r="M78" s="59"/>
      <c r="N78" s="59"/>
      <c r="O78" s="59"/>
      <c r="P78" s="60"/>
      <c r="Q78" s="66"/>
      <c r="R78" s="67"/>
      <c r="S78" s="67"/>
      <c r="T78" s="67"/>
      <c r="U78" s="68"/>
      <c r="V78" s="66"/>
      <c r="W78" s="67"/>
      <c r="X78" s="67"/>
      <c r="Y78" s="67"/>
      <c r="Z78" s="68"/>
      <c r="AA78" s="51"/>
      <c r="AB78" s="52"/>
      <c r="AC78" s="52"/>
      <c r="AD78" s="52"/>
      <c r="AE78" s="53"/>
    </row>
    <row r="79" spans="1:31" x14ac:dyDescent="0.25">
      <c r="A79" s="69" t="s">
        <v>80</v>
      </c>
      <c r="B79" s="69"/>
      <c r="C79" s="69"/>
      <c r="D79" s="69"/>
      <c r="E79" s="45"/>
      <c r="F79" s="61">
        <v>10.029999999999999</v>
      </c>
      <c r="G79" s="54"/>
      <c r="H79" s="54"/>
      <c r="I79" s="54"/>
      <c r="J79" s="62"/>
      <c r="K79" s="54">
        <f>SUM(F79:J81)/3</f>
        <v>10.003333333333332</v>
      </c>
      <c r="L79" s="55"/>
      <c r="M79" s="55"/>
      <c r="N79" s="55"/>
      <c r="O79" s="55"/>
      <c r="P79" s="56"/>
      <c r="Q79" s="61">
        <v>2.5166114784235298E-2</v>
      </c>
      <c r="R79" s="54"/>
      <c r="S79" s="54"/>
      <c r="T79" s="54"/>
      <c r="U79" s="62"/>
      <c r="V79" s="61">
        <v>3.4415694094409255E-2</v>
      </c>
      <c r="W79" s="54"/>
      <c r="X79" s="54"/>
      <c r="Y79" s="54"/>
      <c r="Z79" s="62"/>
      <c r="AA79" s="45"/>
      <c r="AB79" s="46"/>
      <c r="AC79" s="46"/>
      <c r="AD79" s="46"/>
      <c r="AE79" s="47"/>
    </row>
    <row r="80" spans="1:31" x14ac:dyDescent="0.25">
      <c r="A80" s="70"/>
      <c r="B80" s="70"/>
      <c r="C80" s="70"/>
      <c r="D80" s="70"/>
      <c r="E80" s="48"/>
      <c r="F80" s="63">
        <v>9.98</v>
      </c>
      <c r="G80" s="64"/>
      <c r="H80" s="64"/>
      <c r="I80" s="64"/>
      <c r="J80" s="65"/>
      <c r="K80" s="57"/>
      <c r="L80" s="57"/>
      <c r="M80" s="57"/>
      <c r="N80" s="57"/>
      <c r="O80" s="57"/>
      <c r="P80" s="58"/>
      <c r="Q80" s="63"/>
      <c r="R80" s="64"/>
      <c r="S80" s="64"/>
      <c r="T80" s="64"/>
      <c r="U80" s="65"/>
      <c r="V80" s="63"/>
      <c r="W80" s="64"/>
      <c r="X80" s="64"/>
      <c r="Y80" s="64"/>
      <c r="Z80" s="65"/>
      <c r="AA80" s="48"/>
      <c r="AB80" s="49"/>
      <c r="AC80" s="49"/>
      <c r="AD80" s="49"/>
      <c r="AE80" s="50"/>
    </row>
    <row r="81" spans="1:31" x14ac:dyDescent="0.25">
      <c r="A81" s="71"/>
      <c r="B81" s="71"/>
      <c r="C81" s="71"/>
      <c r="D81" s="71"/>
      <c r="E81" s="51"/>
      <c r="F81" s="63">
        <v>10</v>
      </c>
      <c r="G81" s="64"/>
      <c r="H81" s="64"/>
      <c r="I81" s="64"/>
      <c r="J81" s="65"/>
      <c r="K81" s="59"/>
      <c r="L81" s="59"/>
      <c r="M81" s="59"/>
      <c r="N81" s="59"/>
      <c r="O81" s="59"/>
      <c r="P81" s="60"/>
      <c r="Q81" s="66"/>
      <c r="R81" s="67"/>
      <c r="S81" s="67"/>
      <c r="T81" s="67"/>
      <c r="U81" s="68"/>
      <c r="V81" s="66"/>
      <c r="W81" s="67"/>
      <c r="X81" s="67"/>
      <c r="Y81" s="67"/>
      <c r="Z81" s="68"/>
      <c r="AA81" s="51"/>
      <c r="AB81" s="52"/>
      <c r="AC81" s="52"/>
      <c r="AD81" s="52"/>
      <c r="AE81" s="53"/>
    </row>
    <row r="82" spans="1:31" x14ac:dyDescent="0.25">
      <c r="A82" s="69" t="s">
        <v>81</v>
      </c>
      <c r="B82" s="69"/>
      <c r="C82" s="69"/>
      <c r="D82" s="69"/>
      <c r="E82" s="45"/>
      <c r="F82" s="61">
        <v>12.5</v>
      </c>
      <c r="G82" s="54"/>
      <c r="H82" s="54"/>
      <c r="I82" s="54"/>
      <c r="J82" s="62"/>
      <c r="K82" s="54">
        <f>SUM(F82:J84)/3</f>
        <v>12.506666666666666</v>
      </c>
      <c r="L82" s="55"/>
      <c r="M82" s="55"/>
      <c r="N82" s="55"/>
      <c r="O82" s="55"/>
      <c r="P82" s="56"/>
      <c r="Q82" s="61">
        <v>5.7735026918961348E-3</v>
      </c>
      <c r="R82" s="54"/>
      <c r="S82" s="54"/>
      <c r="T82" s="54"/>
      <c r="U82" s="62"/>
      <c r="V82" s="61">
        <v>1.4098226838861605E-2</v>
      </c>
      <c r="W82" s="54"/>
      <c r="X82" s="54"/>
      <c r="Y82" s="54"/>
      <c r="Z82" s="62"/>
      <c r="AA82" s="45"/>
      <c r="AB82" s="46"/>
      <c r="AC82" s="46"/>
      <c r="AD82" s="46"/>
      <c r="AE82" s="47"/>
    </row>
    <row r="83" spans="1:31" x14ac:dyDescent="0.25">
      <c r="A83" s="70"/>
      <c r="B83" s="70"/>
      <c r="C83" s="70"/>
      <c r="D83" s="70"/>
      <c r="E83" s="48"/>
      <c r="F83" s="63">
        <v>12.51</v>
      </c>
      <c r="G83" s="64"/>
      <c r="H83" s="64"/>
      <c r="I83" s="64"/>
      <c r="J83" s="65"/>
      <c r="K83" s="57"/>
      <c r="L83" s="57"/>
      <c r="M83" s="57"/>
      <c r="N83" s="57"/>
      <c r="O83" s="57"/>
      <c r="P83" s="58"/>
      <c r="Q83" s="63"/>
      <c r="R83" s="64"/>
      <c r="S83" s="64"/>
      <c r="T83" s="64"/>
      <c r="U83" s="65"/>
      <c r="V83" s="63"/>
      <c r="W83" s="64"/>
      <c r="X83" s="64"/>
      <c r="Y83" s="64"/>
      <c r="Z83" s="65"/>
      <c r="AA83" s="48"/>
      <c r="AB83" s="49"/>
      <c r="AC83" s="49"/>
      <c r="AD83" s="49"/>
      <c r="AE83" s="50"/>
    </row>
    <row r="84" spans="1:31" x14ac:dyDescent="0.25">
      <c r="A84" s="71"/>
      <c r="B84" s="71"/>
      <c r="C84" s="71"/>
      <c r="D84" s="71"/>
      <c r="E84" s="51"/>
      <c r="F84" s="63">
        <v>12.51</v>
      </c>
      <c r="G84" s="64"/>
      <c r="H84" s="64"/>
      <c r="I84" s="64"/>
      <c r="J84" s="65"/>
      <c r="K84" s="59"/>
      <c r="L84" s="59"/>
      <c r="M84" s="59"/>
      <c r="N84" s="59"/>
      <c r="O84" s="59"/>
      <c r="P84" s="60"/>
      <c r="Q84" s="66"/>
      <c r="R84" s="67"/>
      <c r="S84" s="67"/>
      <c r="T84" s="67"/>
      <c r="U84" s="68"/>
      <c r="V84" s="66"/>
      <c r="W84" s="67"/>
      <c r="X84" s="67"/>
      <c r="Y84" s="67"/>
      <c r="Z84" s="68"/>
      <c r="AA84" s="51"/>
      <c r="AB84" s="52"/>
      <c r="AC84" s="52"/>
      <c r="AD84" s="52"/>
      <c r="AE84" s="53"/>
    </row>
    <row r="85" spans="1:31" x14ac:dyDescent="0.25">
      <c r="A85" s="69" t="s">
        <v>82</v>
      </c>
      <c r="B85" s="69"/>
      <c r="C85" s="69"/>
      <c r="D85" s="69"/>
      <c r="E85" s="45"/>
      <c r="F85" s="61">
        <v>19.260000000000002</v>
      </c>
      <c r="G85" s="54"/>
      <c r="H85" s="54"/>
      <c r="I85" s="54"/>
      <c r="J85" s="62"/>
      <c r="K85" s="54">
        <f>SUM(F85:J87)/3</f>
        <v>19.266666666666666</v>
      </c>
      <c r="L85" s="55"/>
      <c r="M85" s="55"/>
      <c r="N85" s="55"/>
      <c r="O85" s="55"/>
      <c r="P85" s="56"/>
      <c r="Q85" s="61">
        <v>5.7735026918951087E-3</v>
      </c>
      <c r="R85" s="54"/>
      <c r="S85" s="54"/>
      <c r="T85" s="54"/>
      <c r="U85" s="62"/>
      <c r="V85" s="61">
        <v>1.4098226838860915E-2</v>
      </c>
      <c r="W85" s="54"/>
      <c r="X85" s="54"/>
      <c r="Y85" s="54"/>
      <c r="Z85" s="62"/>
      <c r="AA85" s="45"/>
      <c r="AB85" s="46"/>
      <c r="AC85" s="46"/>
      <c r="AD85" s="46"/>
      <c r="AE85" s="47"/>
    </row>
    <row r="86" spans="1:31" x14ac:dyDescent="0.25">
      <c r="A86" s="70"/>
      <c r="B86" s="70"/>
      <c r="C86" s="70"/>
      <c r="D86" s="70"/>
      <c r="E86" s="48"/>
      <c r="F86" s="63">
        <v>19.27</v>
      </c>
      <c r="G86" s="64"/>
      <c r="H86" s="64"/>
      <c r="I86" s="64"/>
      <c r="J86" s="65"/>
      <c r="K86" s="57"/>
      <c r="L86" s="57"/>
      <c r="M86" s="57"/>
      <c r="N86" s="57"/>
      <c r="O86" s="57"/>
      <c r="P86" s="58"/>
      <c r="Q86" s="63"/>
      <c r="R86" s="64"/>
      <c r="S86" s="64"/>
      <c r="T86" s="64"/>
      <c r="U86" s="65"/>
      <c r="V86" s="63"/>
      <c r="W86" s="64"/>
      <c r="X86" s="64"/>
      <c r="Y86" s="64"/>
      <c r="Z86" s="65"/>
      <c r="AA86" s="48"/>
      <c r="AB86" s="49"/>
      <c r="AC86" s="49"/>
      <c r="AD86" s="49"/>
      <c r="AE86" s="50"/>
    </row>
    <row r="87" spans="1:31" x14ac:dyDescent="0.25">
      <c r="A87" s="71"/>
      <c r="B87" s="71"/>
      <c r="C87" s="71"/>
      <c r="D87" s="71"/>
      <c r="E87" s="51"/>
      <c r="F87" s="66">
        <v>19.27</v>
      </c>
      <c r="G87" s="67"/>
      <c r="H87" s="67"/>
      <c r="I87" s="67"/>
      <c r="J87" s="68"/>
      <c r="K87" s="59"/>
      <c r="L87" s="59"/>
      <c r="M87" s="59"/>
      <c r="N87" s="59"/>
      <c r="O87" s="59"/>
      <c r="P87" s="60"/>
      <c r="Q87" s="66"/>
      <c r="R87" s="67"/>
      <c r="S87" s="67"/>
      <c r="T87" s="67"/>
      <c r="U87" s="68"/>
      <c r="V87" s="66"/>
      <c r="W87" s="67"/>
      <c r="X87" s="67"/>
      <c r="Y87" s="67"/>
      <c r="Z87" s="68"/>
      <c r="AA87" s="51"/>
      <c r="AB87" s="52"/>
      <c r="AC87" s="52"/>
      <c r="AD87" s="52"/>
      <c r="AE87" s="53"/>
    </row>
    <row r="88" spans="1:31" x14ac:dyDescent="0.25">
      <c r="A88" t="s">
        <v>24</v>
      </c>
    </row>
    <row r="102" spans="2:29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2:29" x14ac:dyDescent="0.25">
      <c r="B103" s="88" t="s">
        <v>35</v>
      </c>
      <c r="C103" s="88"/>
      <c r="D103" s="88"/>
      <c r="E103" s="88"/>
      <c r="F103" s="88"/>
      <c r="G103" s="88"/>
      <c r="H103" s="88"/>
      <c r="I103" s="88"/>
      <c r="J103" s="88"/>
      <c r="K103" s="88"/>
      <c r="T103" s="88" t="s">
        <v>35</v>
      </c>
      <c r="U103" s="88"/>
      <c r="V103" s="88"/>
      <c r="W103" s="88"/>
      <c r="X103" s="88"/>
      <c r="Y103" s="88"/>
      <c r="Z103" s="88"/>
      <c r="AA103" s="88"/>
      <c r="AB103" s="88"/>
      <c r="AC103" s="88"/>
    </row>
    <row r="104" spans="2:29" x14ac:dyDescent="0.25">
      <c r="B104" s="80" t="s">
        <v>33</v>
      </c>
      <c r="C104" s="80"/>
      <c r="D104" s="80"/>
      <c r="E104" s="80"/>
      <c r="F104" s="80"/>
      <c r="G104" s="80"/>
      <c r="H104" s="80"/>
      <c r="I104" s="80"/>
      <c r="J104" s="80"/>
      <c r="K104" s="80"/>
      <c r="T104" s="80" t="s">
        <v>36</v>
      </c>
      <c r="U104" s="80"/>
      <c r="V104" s="80"/>
      <c r="W104" s="80"/>
      <c r="X104" s="80"/>
      <c r="Y104" s="80"/>
      <c r="Z104" s="80"/>
      <c r="AA104" s="80"/>
      <c r="AB104" s="80"/>
      <c r="AC104" s="80"/>
    </row>
    <row r="105" spans="2:29" x14ac:dyDescent="0.25">
      <c r="B105" s="88" t="s">
        <v>34</v>
      </c>
      <c r="C105" s="88"/>
      <c r="D105" s="88"/>
      <c r="E105" s="88"/>
      <c r="F105" s="88"/>
      <c r="G105" s="88"/>
      <c r="H105" s="88"/>
      <c r="I105" s="88"/>
      <c r="J105" s="88"/>
      <c r="K105" s="88"/>
      <c r="T105" s="88" t="s">
        <v>37</v>
      </c>
      <c r="U105" s="88"/>
      <c r="V105" s="88"/>
      <c r="W105" s="88"/>
      <c r="X105" s="88"/>
      <c r="Y105" s="88"/>
      <c r="Z105" s="88"/>
      <c r="AA105" s="88"/>
      <c r="AB105" s="88"/>
      <c r="AC105" s="88"/>
    </row>
  </sheetData>
  <mergeCells count="84">
    <mergeCell ref="A52:AE53"/>
    <mergeCell ref="P32:T32"/>
    <mergeCell ref="U32:W32"/>
    <mergeCell ref="X32:Z32"/>
    <mergeCell ref="P31:T31"/>
    <mergeCell ref="F31:H31"/>
    <mergeCell ref="I31:L31"/>
    <mergeCell ref="M31:O31"/>
    <mergeCell ref="M32:O32"/>
    <mergeCell ref="V3:AE3"/>
    <mergeCell ref="S5:W5"/>
    <mergeCell ref="AA32:AE32"/>
    <mergeCell ref="A32:E32"/>
    <mergeCell ref="F32:H32"/>
    <mergeCell ref="I32:L32"/>
    <mergeCell ref="A73:E75"/>
    <mergeCell ref="F70:J70"/>
    <mergeCell ref="A9:AE9"/>
    <mergeCell ref="A60:AE60"/>
    <mergeCell ref="A68:AE68"/>
    <mergeCell ref="F69:J69"/>
    <mergeCell ref="Q69:U69"/>
    <mergeCell ref="V69:Z69"/>
    <mergeCell ref="AA69:AE69"/>
    <mergeCell ref="V57:AE57"/>
    <mergeCell ref="A69:E69"/>
    <mergeCell ref="A70:E72"/>
    <mergeCell ref="F75:J75"/>
    <mergeCell ref="A31:E31"/>
    <mergeCell ref="K69:P69"/>
    <mergeCell ref="F78:J78"/>
    <mergeCell ref="U31:W31"/>
    <mergeCell ref="X31:Z31"/>
    <mergeCell ref="AA31:AE31"/>
    <mergeCell ref="I15:N15"/>
    <mergeCell ref="F73:J73"/>
    <mergeCell ref="F72:J72"/>
    <mergeCell ref="F71:J71"/>
    <mergeCell ref="K73:P75"/>
    <mergeCell ref="Q73:U75"/>
    <mergeCell ref="Q70:U72"/>
    <mergeCell ref="AA70:AE72"/>
    <mergeCell ref="V70:Z72"/>
    <mergeCell ref="V73:Z75"/>
    <mergeCell ref="AA73:AE75"/>
    <mergeCell ref="F74:J74"/>
    <mergeCell ref="V82:Z84"/>
    <mergeCell ref="AA82:AE84"/>
    <mergeCell ref="F86:J86"/>
    <mergeCell ref="AA76:AE78"/>
    <mergeCell ref="V79:Z81"/>
    <mergeCell ref="F79:J79"/>
    <mergeCell ref="F77:J77"/>
    <mergeCell ref="F76:J76"/>
    <mergeCell ref="V76:Z78"/>
    <mergeCell ref="AA79:AE81"/>
    <mergeCell ref="Q76:U78"/>
    <mergeCell ref="Q79:U81"/>
    <mergeCell ref="F81:J81"/>
    <mergeCell ref="K85:P87"/>
    <mergeCell ref="K79:P81"/>
    <mergeCell ref="K76:P78"/>
    <mergeCell ref="B104:K104"/>
    <mergeCell ref="B105:K105"/>
    <mergeCell ref="T103:AC103"/>
    <mergeCell ref="T104:AC104"/>
    <mergeCell ref="T105:AC105"/>
    <mergeCell ref="B103:K103"/>
    <mergeCell ref="A79:E81"/>
    <mergeCell ref="F80:J80"/>
    <mergeCell ref="V85:Z87"/>
    <mergeCell ref="AA85:AE87"/>
    <mergeCell ref="K70:P72"/>
    <mergeCell ref="Q82:U84"/>
    <mergeCell ref="F84:J84"/>
    <mergeCell ref="F82:J82"/>
    <mergeCell ref="F83:J83"/>
    <mergeCell ref="A76:E78"/>
    <mergeCell ref="F87:J87"/>
    <mergeCell ref="F85:J85"/>
    <mergeCell ref="A85:E87"/>
    <mergeCell ref="A82:E84"/>
    <mergeCell ref="K82:P84"/>
    <mergeCell ref="Q85:U87"/>
  </mergeCells>
  <phoneticPr fontId="2" type="noConversion"/>
  <pageMargins left="0.78740157480314965" right="0.78740157480314965" top="0.59055118110236227" bottom="0.98425196850393704" header="0" footer="0"/>
  <pageSetup orientation="portrait" r:id="rId1"/>
  <headerFooter alignWithMargins="0">
    <oddHeader xml:space="preserve">&amp;R
</oddHeader>
    <oddFooter>&amp;LSistema de Calidad CETI Inspecciones Ltda.
Camino a Melipilla #7060, Cerrillos Stgo. Fono(56-2) 5303181&amp;RPág.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2DA6-8812-4C05-B017-EE5B8548897A}">
  <dimension ref="B2:I39"/>
  <sheetViews>
    <sheetView topLeftCell="A12" workbookViewId="0">
      <selection activeCell="C30" sqref="C30:I32"/>
    </sheetView>
  </sheetViews>
  <sheetFormatPr baseColWidth="10" defaultColWidth="9.109375" defaultRowHeight="13.2" x14ac:dyDescent="0.25"/>
  <cols>
    <col min="1" max="1" width="9.109375" style="5" customWidth="1"/>
    <col min="2" max="2" width="12.33203125" style="5" customWidth="1"/>
    <col min="3" max="9" width="15.5546875" style="5" bestFit="1" customWidth="1"/>
    <col min="10" max="16384" width="9.109375" style="5"/>
  </cols>
  <sheetData>
    <row r="2" spans="2:9" x14ac:dyDescent="0.25">
      <c r="B2" s="4" t="s">
        <v>38</v>
      </c>
    </row>
    <row r="4" spans="2:9" ht="15" customHeight="1" x14ac:dyDescent="0.25">
      <c r="E4" s="5" t="s">
        <v>39</v>
      </c>
      <c r="F4" s="5" t="s">
        <v>40</v>
      </c>
      <c r="H4" s="5" t="s">
        <v>41</v>
      </c>
      <c r="I4" s="5" t="s">
        <v>42</v>
      </c>
    </row>
    <row r="5" spans="2:9" ht="15" customHeight="1" x14ac:dyDescent="0.25">
      <c r="F5" s="5" t="s">
        <v>43</v>
      </c>
    </row>
    <row r="6" spans="2:9" ht="15" customHeight="1" x14ac:dyDescent="0.25">
      <c r="F6" s="5" t="s">
        <v>44</v>
      </c>
    </row>
    <row r="8" spans="2:9" x14ac:dyDescent="0.25">
      <c r="G8" s="5" t="s">
        <v>45</v>
      </c>
    </row>
    <row r="9" spans="2:9" x14ac:dyDescent="0.25">
      <c r="G9" s="5" t="s">
        <v>46</v>
      </c>
    </row>
    <row r="12" spans="2:9" x14ac:dyDescent="0.25">
      <c r="E12" s="6" t="s">
        <v>61</v>
      </c>
    </row>
    <row r="18" spans="2:9" x14ac:dyDescent="0.25">
      <c r="E18" s="5" t="s">
        <v>47</v>
      </c>
    </row>
    <row r="19" spans="2:9" ht="17.399999999999999" x14ac:dyDescent="0.3">
      <c r="C19" s="6"/>
      <c r="D19" s="7"/>
      <c r="E19" s="8" t="s">
        <v>48</v>
      </c>
    </row>
    <row r="20" spans="2:9" x14ac:dyDescent="0.25">
      <c r="E20" s="5" t="s">
        <v>49</v>
      </c>
    </row>
    <row r="26" spans="2:9" x14ac:dyDescent="0.25">
      <c r="B26" s="9" t="s">
        <v>50</v>
      </c>
      <c r="C26" s="10">
        <v>1E-3</v>
      </c>
      <c r="D26" s="11" t="s">
        <v>51</v>
      </c>
      <c r="E26" s="10">
        <v>6.0000000000000001E-3</v>
      </c>
    </row>
    <row r="27" spans="2:9" x14ac:dyDescent="0.25">
      <c r="B27" s="9" t="s">
        <v>52</v>
      </c>
      <c r="C27" s="12">
        <v>3</v>
      </c>
      <c r="D27" s="13">
        <v>3</v>
      </c>
      <c r="E27" s="12">
        <v>3</v>
      </c>
      <c r="F27" s="12">
        <v>3</v>
      </c>
      <c r="G27" s="12">
        <v>3</v>
      </c>
      <c r="H27" s="12">
        <v>3</v>
      </c>
      <c r="I27" s="12">
        <v>3</v>
      </c>
    </row>
    <row r="28" spans="2:9" x14ac:dyDescent="0.25">
      <c r="B28" s="14" t="s">
        <v>53</v>
      </c>
      <c r="C28" s="15">
        <v>1.1100000000000001</v>
      </c>
      <c r="D28" s="15">
        <v>1.1100000000000001</v>
      </c>
      <c r="E28" s="15">
        <v>1.1100000000000001</v>
      </c>
      <c r="F28" s="15">
        <v>1.1100000000000001</v>
      </c>
      <c r="G28" s="15">
        <v>1.1100000000000001</v>
      </c>
      <c r="H28" s="15">
        <v>1.1100000000000001</v>
      </c>
      <c r="I28" s="15">
        <v>1.1100000000000001</v>
      </c>
    </row>
    <row r="29" spans="2:9" x14ac:dyDescent="0.25">
      <c r="B29" s="16" t="s">
        <v>54</v>
      </c>
      <c r="C29" s="17">
        <v>2.5</v>
      </c>
      <c r="D29" s="17">
        <v>5</v>
      </c>
      <c r="E29" s="17">
        <v>7.5</v>
      </c>
      <c r="F29" s="17">
        <v>10</v>
      </c>
      <c r="G29" s="17">
        <v>12.5</v>
      </c>
      <c r="H29" s="17">
        <v>20</v>
      </c>
      <c r="I29" s="17">
        <v>20</v>
      </c>
    </row>
    <row r="30" spans="2:9" x14ac:dyDescent="0.25">
      <c r="B30" s="16" t="s">
        <v>55</v>
      </c>
      <c r="C30" s="18">
        <v>2.46</v>
      </c>
      <c r="D30" s="18">
        <v>4.97</v>
      </c>
      <c r="E30" s="18">
        <v>7.48</v>
      </c>
      <c r="F30" s="18">
        <v>10.029999999999999</v>
      </c>
      <c r="G30" s="18">
        <v>12.5</v>
      </c>
      <c r="H30" s="18">
        <v>19.260000000000002</v>
      </c>
      <c r="I30" s="18">
        <v>19.527000000000001</v>
      </c>
    </row>
    <row r="31" spans="2:9" x14ac:dyDescent="0.25">
      <c r="B31" s="16" t="s">
        <v>56</v>
      </c>
      <c r="C31" s="18">
        <v>2.46</v>
      </c>
      <c r="D31" s="18">
        <v>4.95</v>
      </c>
      <c r="E31" s="18">
        <v>7.49</v>
      </c>
      <c r="F31" s="18">
        <v>9.98</v>
      </c>
      <c r="G31" s="18">
        <v>12.51</v>
      </c>
      <c r="H31" s="18">
        <v>19.27</v>
      </c>
      <c r="I31" s="18">
        <v>19.529</v>
      </c>
    </row>
    <row r="32" spans="2:9" x14ac:dyDescent="0.25">
      <c r="B32" s="16" t="s">
        <v>57</v>
      </c>
      <c r="C32" s="18">
        <v>2.4700000000000002</v>
      </c>
      <c r="D32" s="18">
        <v>5</v>
      </c>
      <c r="E32" s="18">
        <v>7.5</v>
      </c>
      <c r="F32" s="18">
        <v>10</v>
      </c>
      <c r="G32" s="18">
        <v>12.51</v>
      </c>
      <c r="H32" s="18">
        <v>19.27</v>
      </c>
      <c r="I32" s="18">
        <v>19.527999999999999</v>
      </c>
    </row>
    <row r="33" spans="2:9" x14ac:dyDescent="0.25">
      <c r="B33" s="16" t="s">
        <v>58</v>
      </c>
      <c r="C33" s="20">
        <f t="shared" ref="C33:I33" si="0">STDEV(C30:C32)</f>
        <v>5.7735026918963907E-3</v>
      </c>
      <c r="D33" s="20">
        <f t="shared" si="0"/>
        <v>2.5166114784235766E-2</v>
      </c>
      <c r="E33" s="20">
        <f t="shared" si="0"/>
        <v>9.9999999999997868E-3</v>
      </c>
      <c r="F33" s="20">
        <f t="shared" si="0"/>
        <v>2.5166114784235298E-2</v>
      </c>
      <c r="G33" s="20">
        <f t="shared" si="0"/>
        <v>5.7735026918961348E-3</v>
      </c>
      <c r="H33" s="20">
        <f t="shared" si="0"/>
        <v>5.7735026918951087E-3</v>
      </c>
      <c r="I33" s="20">
        <f t="shared" si="0"/>
        <v>9.9999999999944578E-4</v>
      </c>
    </row>
    <row r="34" spans="2:9" x14ac:dyDescent="0.25">
      <c r="B34" s="16" t="s">
        <v>51</v>
      </c>
      <c r="C34" s="20">
        <f>E26</f>
        <v>6.0000000000000001E-3</v>
      </c>
      <c r="D34" s="20">
        <f>E26</f>
        <v>6.0000000000000001E-3</v>
      </c>
      <c r="E34" s="20">
        <f>E26</f>
        <v>6.0000000000000001E-3</v>
      </c>
      <c r="F34" s="20">
        <f>E26</f>
        <v>6.0000000000000001E-3</v>
      </c>
      <c r="G34" s="20">
        <f>E26</f>
        <v>6.0000000000000001E-3</v>
      </c>
      <c r="H34" s="20">
        <f>E26</f>
        <v>6.0000000000000001E-3</v>
      </c>
      <c r="I34" s="20">
        <f>E26</f>
        <v>6.0000000000000001E-3</v>
      </c>
    </row>
    <row r="35" spans="2:9" x14ac:dyDescent="0.25">
      <c r="B35" s="16" t="s">
        <v>59</v>
      </c>
      <c r="C35" s="15">
        <f t="shared" ref="C35:I35" si="1">(C33*C28)/SQRT(C27)</f>
        <v>3.7000000000000856E-3</v>
      </c>
      <c r="D35" s="20">
        <f t="shared" si="1"/>
        <v>1.6127926091100451E-2</v>
      </c>
      <c r="E35" s="20">
        <f t="shared" si="1"/>
        <v>6.4085879880047105E-3</v>
      </c>
      <c r="F35" s="20">
        <f t="shared" si="1"/>
        <v>1.6127926091100152E-2</v>
      </c>
      <c r="G35" s="15">
        <f t="shared" si="1"/>
        <v>3.6999999999999221E-3</v>
      </c>
      <c r="H35" s="15">
        <f t="shared" si="1"/>
        <v>3.6999999999992646E-3</v>
      </c>
      <c r="I35" s="20">
        <f t="shared" si="1"/>
        <v>6.4085879880012957E-4</v>
      </c>
    </row>
    <row r="36" spans="2:9" x14ac:dyDescent="0.25">
      <c r="B36" s="19"/>
      <c r="C36" s="21">
        <f t="shared" ref="C36:I36" si="2">POWER(C34,2)+POWER(C35,2)</f>
        <v>4.969000000000063E-5</v>
      </c>
      <c r="D36" s="21">
        <f t="shared" si="2"/>
        <v>2.9610999999999868E-4</v>
      </c>
      <c r="E36" s="21">
        <f t="shared" si="2"/>
        <v>7.7069999999998258E-5</v>
      </c>
      <c r="F36" s="21">
        <f t="shared" si="2"/>
        <v>2.9610999999998903E-4</v>
      </c>
      <c r="G36" s="21">
        <f t="shared" si="2"/>
        <v>4.9689999999999424E-5</v>
      </c>
      <c r="H36" s="21">
        <f t="shared" si="2"/>
        <v>4.9689999999994559E-5</v>
      </c>
      <c r="I36" s="21">
        <f t="shared" si="2"/>
        <v>3.6410699999999546E-5</v>
      </c>
    </row>
    <row r="37" spans="2:9" x14ac:dyDescent="0.25">
      <c r="B37" s="17"/>
      <c r="C37" s="20">
        <f t="shared" ref="C37:I37" si="3">SQRT(C36)</f>
        <v>7.0491134194308885E-3</v>
      </c>
      <c r="D37" s="20">
        <f t="shared" si="3"/>
        <v>1.7207847047204908E-2</v>
      </c>
      <c r="E37" s="20">
        <f t="shared" si="3"/>
        <v>8.7789521014753381E-3</v>
      </c>
      <c r="F37" s="20">
        <f t="shared" si="3"/>
        <v>1.7207847047204627E-2</v>
      </c>
      <c r="G37" s="20">
        <f t="shared" si="3"/>
        <v>7.0491134194308027E-3</v>
      </c>
      <c r="H37" s="20">
        <f t="shared" si="3"/>
        <v>7.0491134194304575E-3</v>
      </c>
      <c r="I37" s="20">
        <f t="shared" si="3"/>
        <v>6.0341279403074927E-3</v>
      </c>
    </row>
    <row r="38" spans="2:9" x14ac:dyDescent="0.25">
      <c r="B38" s="16" t="s">
        <v>60</v>
      </c>
      <c r="C38" s="20">
        <f t="shared" ref="C38:I38" si="4">C37*2</f>
        <v>1.4098226838861777E-2</v>
      </c>
      <c r="D38" s="20">
        <f t="shared" si="4"/>
        <v>3.4415694094409817E-2</v>
      </c>
      <c r="E38" s="20">
        <f t="shared" si="4"/>
        <v>1.7557904202950676E-2</v>
      </c>
      <c r="F38" s="20">
        <f t="shared" si="4"/>
        <v>3.4415694094409255E-2</v>
      </c>
      <c r="G38" s="20">
        <f t="shared" si="4"/>
        <v>1.4098226838861605E-2</v>
      </c>
      <c r="H38" s="20">
        <f t="shared" si="4"/>
        <v>1.4098226838860915E-2</v>
      </c>
      <c r="I38" s="20">
        <f t="shared" si="4"/>
        <v>1.2068255880614985E-2</v>
      </c>
    </row>
    <row r="39" spans="2:9" x14ac:dyDescent="0.25">
      <c r="B39" s="17" t="s">
        <v>85</v>
      </c>
      <c r="C39" s="18">
        <f>SUM(C30:C32)/3</f>
        <v>2.4633333333333334</v>
      </c>
      <c r="D39" s="18">
        <f t="shared" ref="D39:I39" si="5">SUM(D30:D32)/3</f>
        <v>4.9733333333333336</v>
      </c>
      <c r="E39" s="18">
        <f t="shared" si="5"/>
        <v>7.4899999999999993</v>
      </c>
      <c r="F39" s="18">
        <f t="shared" si="5"/>
        <v>10.003333333333332</v>
      </c>
      <c r="G39" s="18">
        <f t="shared" si="5"/>
        <v>12.506666666666666</v>
      </c>
      <c r="H39" s="18">
        <f t="shared" si="5"/>
        <v>19.266666666666666</v>
      </c>
      <c r="I39" s="18">
        <f t="shared" si="5"/>
        <v>19.527999999999999</v>
      </c>
    </row>
  </sheetData>
  <phoneticPr fontId="0" type="noConversion"/>
  <pageMargins left="0.75" right="0.75" top="1" bottom="1" header="0" footer="0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5121" r:id="rId4">
          <objectPr defaultSize="0" autoPict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2</xdr:col>
                <xdr:colOff>914400</xdr:colOff>
                <xdr:row>4</xdr:row>
                <xdr:rowOff>198120</xdr:rowOff>
              </to>
            </anchor>
          </objectPr>
        </oleObject>
      </mc:Choice>
      <mc:Fallback>
        <oleObject progId="Equation.3" shapeId="5121" r:id="rId4"/>
      </mc:Fallback>
    </mc:AlternateContent>
    <mc:AlternateContent xmlns:mc="http://schemas.openxmlformats.org/markup-compatibility/2006">
      <mc:Choice Requires="x14">
        <oleObject progId="Equation.3" shapeId="5122" r:id="rId6">
          <objectPr defaultSize="0" r:id="rId7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4</xdr:col>
                <xdr:colOff>655320</xdr:colOff>
                <xdr:row>9</xdr:row>
                <xdr:rowOff>152400</xdr:rowOff>
              </to>
            </anchor>
          </objectPr>
        </oleObject>
      </mc:Choice>
      <mc:Fallback>
        <oleObject progId="Equation.3" shapeId="5122" r:id="rId6"/>
      </mc:Fallback>
    </mc:AlternateContent>
    <mc:AlternateContent xmlns:mc="http://schemas.openxmlformats.org/markup-compatibility/2006">
      <mc:Choice Requires="x14">
        <oleObject progId="Equation.3" shapeId="5123" r:id="rId8">
          <objectPr defaultSize="0" r:id="rId9">
            <anchor moveWithCells="1">
              <from>
                <xdr:col>1</xdr:col>
                <xdr:colOff>0</xdr:colOff>
                <xdr:row>11</xdr:row>
                <xdr:rowOff>0</xdr:rowOff>
              </from>
              <to>
                <xdr:col>2</xdr:col>
                <xdr:colOff>739140</xdr:colOff>
                <xdr:row>15</xdr:row>
                <xdr:rowOff>7620</xdr:rowOff>
              </to>
            </anchor>
          </objectPr>
        </oleObject>
      </mc:Choice>
      <mc:Fallback>
        <oleObject progId="Equation.3" shapeId="5123" r:id="rId8"/>
      </mc:Fallback>
    </mc:AlternateContent>
    <mc:AlternateContent xmlns:mc="http://schemas.openxmlformats.org/markup-compatibility/2006">
      <mc:Choice Requires="x14">
        <oleObject progId="Equation.3" shapeId="5124" r:id="rId10">
          <objectPr defaultSize="0" autoPict="0" r:id="rId11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723900</xdr:colOff>
                <xdr:row>19</xdr:row>
                <xdr:rowOff>198120</xdr:rowOff>
              </to>
            </anchor>
          </objectPr>
        </oleObject>
      </mc:Choice>
      <mc:Fallback>
        <oleObject progId="Equation.3" shapeId="5124" r:id="rId10"/>
      </mc:Fallback>
    </mc:AlternateContent>
    <mc:AlternateContent xmlns:mc="http://schemas.openxmlformats.org/markup-compatibility/2006">
      <mc:Choice Requires="x14">
        <oleObject progId="Equation.3" shapeId="5125" r:id="rId12">
          <objectPr defaultSize="0" autoPict="0" r:id="rId13">
            <anchor moveWithCells="1">
              <from>
                <xdr:col>4</xdr:col>
                <xdr:colOff>762000</xdr:colOff>
                <xdr:row>2</xdr:row>
                <xdr:rowOff>121920</xdr:rowOff>
              </from>
              <to>
                <xdr:col>4</xdr:col>
                <xdr:colOff>1051560</xdr:colOff>
                <xdr:row>4</xdr:row>
                <xdr:rowOff>0</xdr:rowOff>
              </to>
            </anchor>
          </objectPr>
        </oleObject>
      </mc:Choice>
      <mc:Fallback>
        <oleObject progId="Equation.3" shapeId="5125" r:id="rId12"/>
      </mc:Fallback>
    </mc:AlternateContent>
    <mc:AlternateContent xmlns:mc="http://schemas.openxmlformats.org/markup-compatibility/2006">
      <mc:Choice Requires="x14">
        <oleObject progId="Equation.3" shapeId="5126" r:id="rId14">
          <objectPr defaultSize="0" autoPict="0" r:id="rId15">
            <anchor moveWithCells="1">
              <from>
                <xdr:col>4</xdr:col>
                <xdr:colOff>769620</xdr:colOff>
                <xdr:row>4</xdr:row>
                <xdr:rowOff>7620</xdr:rowOff>
              </from>
              <to>
                <xdr:col>4</xdr:col>
                <xdr:colOff>1028700</xdr:colOff>
                <xdr:row>5</xdr:row>
                <xdr:rowOff>60960</xdr:rowOff>
              </to>
            </anchor>
          </objectPr>
        </oleObject>
      </mc:Choice>
      <mc:Fallback>
        <oleObject progId="Equation.3" shapeId="5126" r:id="rId14"/>
      </mc:Fallback>
    </mc:AlternateContent>
    <mc:AlternateContent xmlns:mc="http://schemas.openxmlformats.org/markup-compatibility/2006">
      <mc:Choice Requires="x14">
        <oleObject progId="Equation.3" shapeId="5127" r:id="rId16">
          <objectPr defaultSize="0" autoPict="0" r:id="rId17">
            <anchor moveWithCells="1">
              <from>
                <xdr:col>4</xdr:col>
                <xdr:colOff>441960</xdr:colOff>
                <xdr:row>5</xdr:row>
                <xdr:rowOff>0</xdr:rowOff>
              </from>
              <to>
                <xdr:col>4</xdr:col>
                <xdr:colOff>1028700</xdr:colOff>
                <xdr:row>6</xdr:row>
                <xdr:rowOff>60960</xdr:rowOff>
              </to>
            </anchor>
          </objectPr>
        </oleObject>
      </mc:Choice>
      <mc:Fallback>
        <oleObject progId="Equation.3" shapeId="5127" r:id="rId16"/>
      </mc:Fallback>
    </mc:AlternateContent>
    <mc:AlternateContent xmlns:mc="http://schemas.openxmlformats.org/markup-compatibility/2006">
      <mc:Choice Requires="x14">
        <oleObject progId="Equation.3" shapeId="5128" r:id="rId18">
          <objectPr defaultSize="0" autoPict="0" r:id="rId15">
            <anchor moveWithCells="1">
              <from>
                <xdr:col>5</xdr:col>
                <xdr:colOff>815340</xdr:colOff>
                <xdr:row>6</xdr:row>
                <xdr:rowOff>198120</xdr:rowOff>
              </from>
              <to>
                <xdr:col>5</xdr:col>
                <xdr:colOff>1074420</xdr:colOff>
                <xdr:row>8</xdr:row>
                <xdr:rowOff>76200</xdr:rowOff>
              </to>
            </anchor>
          </objectPr>
        </oleObject>
      </mc:Choice>
      <mc:Fallback>
        <oleObject progId="Equation.3" shapeId="5128" r:id="rId18"/>
      </mc:Fallback>
    </mc:AlternateContent>
    <mc:AlternateContent xmlns:mc="http://schemas.openxmlformats.org/markup-compatibility/2006">
      <mc:Choice Requires="x14">
        <oleObject progId="Equation.3" shapeId="5129" r:id="rId19">
          <objectPr defaultSize="0" autoPict="0" r:id="rId15">
            <anchor moveWithCells="1">
              <from>
                <xdr:col>5</xdr:col>
                <xdr:colOff>815340</xdr:colOff>
                <xdr:row>8</xdr:row>
                <xdr:rowOff>38100</xdr:rowOff>
              </from>
              <to>
                <xdr:col>5</xdr:col>
                <xdr:colOff>1074420</xdr:colOff>
                <xdr:row>9</xdr:row>
                <xdr:rowOff>121920</xdr:rowOff>
              </to>
            </anchor>
          </objectPr>
        </oleObject>
      </mc:Choice>
      <mc:Fallback>
        <oleObject progId="Equation.3" shapeId="5129" r:id="rId19"/>
      </mc:Fallback>
    </mc:AlternateContent>
    <mc:AlternateContent xmlns:mc="http://schemas.openxmlformats.org/markup-compatibility/2006">
      <mc:Choice Requires="x14">
        <oleObject progId="Equation.3" shapeId="5130" r:id="rId20">
          <objectPr defaultSize="0" autoPict="0" r:id="rId21">
            <anchor moveWithCells="1">
              <from>
                <xdr:col>3</xdr:col>
                <xdr:colOff>685800</xdr:colOff>
                <xdr:row>16</xdr:row>
                <xdr:rowOff>175260</xdr:rowOff>
              </from>
              <to>
                <xdr:col>3</xdr:col>
                <xdr:colOff>1036320</xdr:colOff>
                <xdr:row>18</xdr:row>
                <xdr:rowOff>68580</xdr:rowOff>
              </to>
            </anchor>
          </objectPr>
        </oleObject>
      </mc:Choice>
      <mc:Fallback>
        <oleObject progId="Equation.3" shapeId="5130" r:id="rId20"/>
      </mc:Fallback>
    </mc:AlternateContent>
    <mc:AlternateContent xmlns:mc="http://schemas.openxmlformats.org/markup-compatibility/2006">
      <mc:Choice Requires="x14">
        <oleObject progId="Equation.3" shapeId="5131" r:id="rId22">
          <objectPr defaultSize="0" autoPict="0" r:id="rId23">
            <anchor moveWithCells="1">
              <from>
                <xdr:col>3</xdr:col>
                <xdr:colOff>723900</xdr:colOff>
                <xdr:row>17</xdr:row>
                <xdr:rowOff>198120</xdr:rowOff>
              </from>
              <to>
                <xdr:col>3</xdr:col>
                <xdr:colOff>952500</xdr:colOff>
                <xdr:row>19</xdr:row>
                <xdr:rowOff>76200</xdr:rowOff>
              </to>
            </anchor>
          </objectPr>
        </oleObject>
      </mc:Choice>
      <mc:Fallback>
        <oleObject progId="Equation.3" shapeId="5131" r:id="rId22"/>
      </mc:Fallback>
    </mc:AlternateContent>
    <mc:AlternateContent xmlns:mc="http://schemas.openxmlformats.org/markup-compatibility/2006">
      <mc:Choice Requires="x14">
        <oleObject progId="Equation.3" shapeId="5132" r:id="rId24">
          <objectPr defaultSize="0" autoPict="0" r:id="rId25">
            <anchor moveWithCells="1">
              <from>
                <xdr:col>3</xdr:col>
                <xdr:colOff>678180</xdr:colOff>
                <xdr:row>19</xdr:row>
                <xdr:rowOff>0</xdr:rowOff>
              </from>
              <to>
                <xdr:col>3</xdr:col>
                <xdr:colOff>944880</xdr:colOff>
                <xdr:row>20</xdr:row>
                <xdr:rowOff>99060</xdr:rowOff>
              </to>
            </anchor>
          </objectPr>
        </oleObject>
      </mc:Choice>
      <mc:Fallback>
        <oleObject progId="Equation.3" shapeId="5132" r:id="rId24"/>
      </mc:Fallback>
    </mc:AlternateContent>
    <mc:AlternateContent xmlns:mc="http://schemas.openxmlformats.org/markup-compatibility/2006">
      <mc:Choice Requires="x14">
        <oleObject progId="Equation.3" shapeId="5133" r:id="rId26">
          <objectPr defaultSize="0" autoPict="0" r:id="rId15">
            <anchor moveWithCells="1">
              <from>
                <xdr:col>3</xdr:col>
                <xdr:colOff>175260</xdr:colOff>
                <xdr:row>25</xdr:row>
                <xdr:rowOff>7620</xdr:rowOff>
              </from>
              <to>
                <xdr:col>3</xdr:col>
                <xdr:colOff>358140</xdr:colOff>
                <xdr:row>25</xdr:row>
                <xdr:rowOff>190500</xdr:rowOff>
              </to>
            </anchor>
          </objectPr>
        </oleObject>
      </mc:Choice>
      <mc:Fallback>
        <oleObject progId="Equation.3" shapeId="5133" r:id="rId26"/>
      </mc:Fallback>
    </mc:AlternateContent>
    <mc:AlternateContent xmlns:mc="http://schemas.openxmlformats.org/markup-compatibility/2006">
      <mc:Choice Requires="x14">
        <oleObject progId="Equation.3" shapeId="5134" r:id="rId27">
          <objectPr defaultSize="0" autoPict="0" r:id="rId15">
            <anchor moveWithCells="1">
              <from>
                <xdr:col>1</xdr:col>
                <xdr:colOff>167640</xdr:colOff>
                <xdr:row>33</xdr:row>
                <xdr:rowOff>7620</xdr:rowOff>
              </from>
              <to>
                <xdr:col>1</xdr:col>
                <xdr:colOff>350520</xdr:colOff>
                <xdr:row>33</xdr:row>
                <xdr:rowOff>190500</xdr:rowOff>
              </to>
            </anchor>
          </objectPr>
        </oleObject>
      </mc:Choice>
      <mc:Fallback>
        <oleObject progId="Equation.3" shapeId="5134" r:id="rId27"/>
      </mc:Fallback>
    </mc:AlternateContent>
    <mc:AlternateContent xmlns:mc="http://schemas.openxmlformats.org/markup-compatibility/2006">
      <mc:Choice Requires="x14">
        <oleObject progId="Equation.3" shapeId="5135" r:id="rId28">
          <objectPr defaultSize="0" autoPict="0" r:id="rId15">
            <anchor moveWithCells="1">
              <from>
                <xdr:col>1</xdr:col>
                <xdr:colOff>167640</xdr:colOff>
                <xdr:row>34</xdr:row>
                <xdr:rowOff>7620</xdr:rowOff>
              </from>
              <to>
                <xdr:col>1</xdr:col>
                <xdr:colOff>342900</xdr:colOff>
                <xdr:row>35</xdr:row>
                <xdr:rowOff>0</xdr:rowOff>
              </to>
            </anchor>
          </objectPr>
        </oleObject>
      </mc:Choice>
      <mc:Fallback>
        <oleObject progId="Equation.3" shapeId="5135" r:id="rId28"/>
      </mc:Fallback>
    </mc:AlternateContent>
    <mc:AlternateContent xmlns:mc="http://schemas.openxmlformats.org/markup-compatibility/2006">
      <mc:Choice Requires="x14">
        <oleObject progId="Equation.3" shapeId="5136" r:id="rId29">
          <objectPr defaultSize="0" autoPict="0" r:id="rId30">
            <anchor moveWithCells="1">
              <from>
                <xdr:col>1</xdr:col>
                <xdr:colOff>304800</xdr:colOff>
                <xdr:row>35</xdr:row>
                <xdr:rowOff>7620</xdr:rowOff>
              </from>
              <to>
                <xdr:col>1</xdr:col>
                <xdr:colOff>548640</xdr:colOff>
                <xdr:row>36</xdr:row>
                <xdr:rowOff>0</xdr:rowOff>
              </to>
            </anchor>
          </objectPr>
        </oleObject>
      </mc:Choice>
      <mc:Fallback>
        <oleObject progId="Equation.3" shapeId="5136" r:id="rId29"/>
      </mc:Fallback>
    </mc:AlternateContent>
    <mc:AlternateContent xmlns:mc="http://schemas.openxmlformats.org/markup-compatibility/2006">
      <mc:Choice Requires="x14">
        <oleObject progId="Equation.3" shapeId="5137" r:id="rId31">
          <objectPr defaultSize="0" autoPict="0" r:id="rId15">
            <anchor moveWithCells="1">
              <from>
                <xdr:col>1</xdr:col>
                <xdr:colOff>304800</xdr:colOff>
                <xdr:row>36</xdr:row>
                <xdr:rowOff>7620</xdr:rowOff>
              </from>
              <to>
                <xdr:col>1</xdr:col>
                <xdr:colOff>472440</xdr:colOff>
                <xdr:row>37</xdr:row>
                <xdr:rowOff>0</xdr:rowOff>
              </to>
            </anchor>
          </objectPr>
        </oleObject>
      </mc:Choice>
      <mc:Fallback>
        <oleObject progId="Equation.3" shapeId="5137" r:id="rId31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9809-95FA-4313-A1A5-0B44153C8F31}">
  <dimension ref="B1:F10"/>
  <sheetViews>
    <sheetView showGridLines="0" workbookViewId="0">
      <selection activeCell="B2" sqref="B2"/>
    </sheetView>
  </sheetViews>
  <sheetFormatPr baseColWidth="10" defaultRowHeight="13.2" x14ac:dyDescent="0.25"/>
  <cols>
    <col min="1" max="1" width="1.109375" customWidth="1"/>
    <col min="2" max="2" width="64.44140625" customWidth="1"/>
    <col min="3" max="3" width="1.5546875" customWidth="1"/>
    <col min="4" max="4" width="5.5546875" customWidth="1"/>
    <col min="5" max="6" width="16" customWidth="1"/>
  </cols>
  <sheetData>
    <row r="1" spans="2:6" x14ac:dyDescent="0.25">
      <c r="B1" s="34" t="s">
        <v>98</v>
      </c>
      <c r="C1" s="34"/>
      <c r="D1" s="38"/>
      <c r="E1" s="38"/>
      <c r="F1" s="38"/>
    </row>
    <row r="2" spans="2:6" x14ac:dyDescent="0.25">
      <c r="B2" s="34" t="s">
        <v>99</v>
      </c>
      <c r="C2" s="34"/>
      <c r="D2" s="38"/>
      <c r="E2" s="38"/>
      <c r="F2" s="38"/>
    </row>
    <row r="3" spans="2:6" x14ac:dyDescent="0.25">
      <c r="B3" s="35"/>
      <c r="C3" s="35"/>
      <c r="D3" s="39"/>
      <c r="E3" s="39"/>
      <c r="F3" s="39"/>
    </row>
    <row r="4" spans="2:6" ht="39.6" x14ac:dyDescent="0.25">
      <c r="B4" s="35" t="s">
        <v>100</v>
      </c>
      <c r="C4" s="35"/>
      <c r="D4" s="39"/>
      <c r="E4" s="39"/>
      <c r="F4" s="39"/>
    </row>
    <row r="5" spans="2:6" x14ac:dyDescent="0.25">
      <c r="B5" s="35"/>
      <c r="C5" s="35"/>
      <c r="D5" s="39"/>
      <c r="E5" s="39"/>
      <c r="F5" s="39"/>
    </row>
    <row r="6" spans="2:6" ht="26.4" x14ac:dyDescent="0.25">
      <c r="B6" s="34" t="s">
        <v>101</v>
      </c>
      <c r="C6" s="34"/>
      <c r="D6" s="38"/>
      <c r="E6" s="38" t="s">
        <v>102</v>
      </c>
      <c r="F6" s="38" t="s">
        <v>103</v>
      </c>
    </row>
    <row r="7" spans="2:6" ht="13.8" thickBot="1" x14ac:dyDescent="0.3">
      <c r="B7" s="35"/>
      <c r="C7" s="35"/>
      <c r="D7" s="39"/>
      <c r="E7" s="39"/>
      <c r="F7" s="39"/>
    </row>
    <row r="8" spans="2:6" ht="40.200000000000003" thickBot="1" x14ac:dyDescent="0.3">
      <c r="B8" s="36" t="s">
        <v>104</v>
      </c>
      <c r="C8" s="37"/>
      <c r="D8" s="40"/>
      <c r="E8" s="40">
        <v>7</v>
      </c>
      <c r="F8" s="41" t="s">
        <v>105</v>
      </c>
    </row>
    <row r="9" spans="2:6" x14ac:dyDescent="0.25">
      <c r="B9" s="35"/>
      <c r="C9" s="35"/>
      <c r="D9" s="39"/>
      <c r="E9" s="39"/>
      <c r="F9" s="39"/>
    </row>
    <row r="10" spans="2:6" x14ac:dyDescent="0.25">
      <c r="B10" s="35"/>
      <c r="C10" s="35"/>
      <c r="D10" s="39"/>
      <c r="E10" s="39"/>
      <c r="F1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Med. Espesores</vt:lpstr>
      <vt:lpstr>Incert Eq Esp</vt:lpstr>
      <vt:lpstr>Patrón Escalonado</vt:lpstr>
      <vt:lpstr>Incert Patrón</vt:lpstr>
      <vt:lpstr>Informe de compatibilidad</vt:lpstr>
    </vt:vector>
  </TitlesOfParts>
  <Company>Indura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vdiaz</dc:creator>
  <cp:lastModifiedBy>Desarrollo Ceneris</cp:lastModifiedBy>
  <cp:lastPrinted>2007-11-13T14:40:02Z</cp:lastPrinted>
  <dcterms:created xsi:type="dcterms:W3CDTF">2007-10-08T12:59:17Z</dcterms:created>
  <dcterms:modified xsi:type="dcterms:W3CDTF">2025-12-18T20:22:31Z</dcterms:modified>
</cp:coreProperties>
</file>