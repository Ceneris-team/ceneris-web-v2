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ab\Desktop\"/>
    </mc:Choice>
  </mc:AlternateContent>
  <xr:revisionPtr revIDLastSave="0" documentId="8_{1F8A64A7-1666-4BC6-BFA6-D53ADE2E88DE}" xr6:coauthVersionLast="47" xr6:coauthVersionMax="47" xr10:uidLastSave="{00000000-0000-0000-0000-000000000000}"/>
  <bookViews>
    <workbookView xWindow="-120" yWindow="-120" windowWidth="29040" windowHeight="15840" xr2:uid="{2B9F613C-B266-4FA1-BBF1-9659775A427B}"/>
  </bookViews>
  <sheets>
    <sheet name="Hoja1" sheetId="1" r:id="rId1"/>
    <sheet name="Hoja3" sheetId="3" r:id="rId2"/>
    <sheet name="Hoja2" sheetId="2" r:id="rId3"/>
  </sheets>
  <definedNames>
    <definedName name="_xlnm._FilterDatabase" localSheetId="0" hidden="1">Hoja1!$A$1:$AQ$235</definedName>
  </definedNames>
  <calcPr calcId="191029" iterateCount="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126" i="1" l="1"/>
  <c r="AQ178" i="1"/>
  <c r="AQ194" i="1"/>
  <c r="AV12" i="1"/>
  <c r="AV54" i="1"/>
  <c r="AV73" i="1"/>
  <c r="AV77" i="1"/>
  <c r="AV82" i="1"/>
  <c r="AV83" i="1"/>
  <c r="AV110" i="1"/>
  <c r="AV152" i="1"/>
  <c r="AV194" i="1"/>
  <c r="AV209" i="1"/>
  <c r="AV222" i="1"/>
  <c r="AQ222" i="1" s="1"/>
  <c r="AV223" i="1"/>
  <c r="AV229" i="1"/>
  <c r="AU10" i="1"/>
  <c r="AV10" i="1" s="1"/>
  <c r="AU11" i="1"/>
  <c r="AU47" i="1"/>
  <c r="AU48" i="1"/>
  <c r="AU49" i="1"/>
  <c r="AU52" i="1"/>
  <c r="AV52" i="1" s="1"/>
  <c r="AU77" i="1"/>
  <c r="AU80" i="1"/>
  <c r="AU94" i="1"/>
  <c r="AU95" i="1"/>
  <c r="AU122" i="1"/>
  <c r="AU136" i="1"/>
  <c r="AU137" i="1"/>
  <c r="AU149" i="1"/>
  <c r="AU150" i="1"/>
  <c r="AU151" i="1"/>
  <c r="AV151" i="1" s="1"/>
  <c r="AU155" i="1"/>
  <c r="AV155" i="1" s="1"/>
  <c r="AU159" i="1"/>
  <c r="AU164" i="1"/>
  <c r="AU192" i="1"/>
  <c r="AV192" i="1" s="1"/>
  <c r="AU193" i="1"/>
  <c r="AU201" i="1"/>
  <c r="AV201" i="1" s="1"/>
  <c r="AU220" i="1"/>
  <c r="AQ220" i="1" s="1"/>
  <c r="AU229" i="1"/>
  <c r="AU230" i="1"/>
  <c r="AV230" i="1" s="1"/>
  <c r="AU234" i="1"/>
  <c r="AV234" i="1" s="1"/>
  <c r="AU235" i="1"/>
  <c r="AV235" i="1" s="1"/>
  <c r="AT38" i="1"/>
  <c r="AT39" i="1"/>
  <c r="AT54" i="1"/>
  <c r="AT78" i="1"/>
  <c r="AT98" i="1"/>
  <c r="AT110" i="1"/>
  <c r="AT131" i="1"/>
  <c r="AT136" i="1"/>
  <c r="AT159" i="1"/>
  <c r="AT209" i="1"/>
  <c r="AS4" i="1"/>
  <c r="AT4" i="1" s="1"/>
  <c r="AS12" i="1"/>
  <c r="AT12" i="1" s="1"/>
  <c r="AS24" i="1"/>
  <c r="AT24" i="1" s="1"/>
  <c r="AS26" i="1"/>
  <c r="AS27" i="1"/>
  <c r="AT27" i="1" s="1"/>
  <c r="AQ27" i="1" s="1"/>
  <c r="AS33" i="1"/>
  <c r="AT33" i="1" s="1"/>
  <c r="AS38" i="1"/>
  <c r="AS39" i="1"/>
  <c r="AS40" i="1"/>
  <c r="AT40" i="1" s="1"/>
  <c r="AS47" i="1"/>
  <c r="AT47" i="1" s="1"/>
  <c r="AS52" i="1"/>
  <c r="AS54" i="1"/>
  <c r="AS60" i="1"/>
  <c r="AT60" i="1" s="1"/>
  <c r="AS68" i="1"/>
  <c r="AT68" i="1" s="1"/>
  <c r="AS80" i="1"/>
  <c r="AT80" i="1" s="1"/>
  <c r="AS81" i="1"/>
  <c r="AT81" i="1" s="1"/>
  <c r="AS82" i="1"/>
  <c r="AS83" i="1"/>
  <c r="AT83" i="1" s="1"/>
  <c r="AS94" i="1"/>
  <c r="AT94" i="1" s="1"/>
  <c r="AS96" i="1"/>
  <c r="AT96" i="1" s="1"/>
  <c r="AS98" i="1"/>
  <c r="AS110" i="1"/>
  <c r="AS117" i="1"/>
  <c r="AT117" i="1" s="1"/>
  <c r="AS121" i="1"/>
  <c r="AT121" i="1" s="1"/>
  <c r="AS122" i="1"/>
  <c r="AT122" i="1" s="1"/>
  <c r="AS123" i="1"/>
  <c r="AT123" i="1" s="1"/>
  <c r="AS124" i="1"/>
  <c r="AT124" i="1" s="1"/>
  <c r="AS125" i="1"/>
  <c r="AT125" i="1" s="1"/>
  <c r="AS126" i="1"/>
  <c r="AT126" i="1" s="1"/>
  <c r="AS138" i="1"/>
  <c r="AS145" i="1"/>
  <c r="AT145" i="1" s="1"/>
  <c r="AS149" i="1"/>
  <c r="AT149" i="1" s="1"/>
  <c r="AS150" i="1"/>
  <c r="AT150" i="1" s="1"/>
  <c r="AS151" i="1"/>
  <c r="AT151" i="1" s="1"/>
  <c r="AS152" i="1"/>
  <c r="AT152" i="1" s="1"/>
  <c r="AQ152" i="1" s="1"/>
  <c r="AS164" i="1"/>
  <c r="AT164" i="1" s="1"/>
  <c r="AS166" i="1"/>
  <c r="AT166" i="1" s="1"/>
  <c r="AS167" i="1"/>
  <c r="AT167" i="1" s="1"/>
  <c r="AS178" i="1"/>
  <c r="AT178" i="1" s="1"/>
  <c r="AS180" i="1"/>
  <c r="AS184" i="1"/>
  <c r="AT184" i="1" s="1"/>
  <c r="AS185" i="1"/>
  <c r="AT185" i="1" s="1"/>
  <c r="AS187" i="1"/>
  <c r="AT187" i="1" s="1"/>
  <c r="AS192" i="1"/>
  <c r="AT192" i="1" s="1"/>
  <c r="AS194" i="1"/>
  <c r="AT194" i="1" s="1"/>
  <c r="AS206" i="1"/>
  <c r="AT206" i="1" s="1"/>
  <c r="AS208" i="1"/>
  <c r="AT208" i="1" s="1"/>
  <c r="AS209" i="1"/>
  <c r="AS220" i="1"/>
  <c r="AT220" i="1" s="1"/>
  <c r="AS221" i="1"/>
  <c r="AT221" i="1" s="1"/>
  <c r="AS222" i="1"/>
  <c r="AT222" i="1" s="1"/>
  <c r="AS223" i="1"/>
  <c r="AT223" i="1" s="1"/>
  <c r="AS235" i="1"/>
  <c r="AT235" i="1" s="1"/>
  <c r="AS2" i="1"/>
  <c r="AT2" i="1" s="1"/>
  <c r="AR3" i="1"/>
  <c r="AU3" i="1" s="1"/>
  <c r="AR4" i="1"/>
  <c r="AU4" i="1" s="1"/>
  <c r="AR5" i="1"/>
  <c r="AU5" i="1" s="1"/>
  <c r="AR6" i="1"/>
  <c r="AR7" i="1"/>
  <c r="AR8" i="1"/>
  <c r="AR9" i="1"/>
  <c r="AR10" i="1"/>
  <c r="AS10" i="1" s="1"/>
  <c r="AR11" i="1"/>
  <c r="AS11" i="1" s="1"/>
  <c r="AT11" i="1" s="1"/>
  <c r="AR12" i="1"/>
  <c r="AU12" i="1" s="1"/>
  <c r="AR13" i="1"/>
  <c r="AR14" i="1"/>
  <c r="AR15" i="1"/>
  <c r="AR16" i="1"/>
  <c r="AR17" i="1"/>
  <c r="AR18" i="1"/>
  <c r="AS18" i="1" s="1"/>
  <c r="AT18" i="1" s="1"/>
  <c r="AR19" i="1"/>
  <c r="AR20" i="1"/>
  <c r="AR21" i="1"/>
  <c r="AS21" i="1" s="1"/>
  <c r="AT21" i="1" s="1"/>
  <c r="AR22" i="1"/>
  <c r="AS22" i="1" s="1"/>
  <c r="AT22" i="1" s="1"/>
  <c r="AR23" i="1"/>
  <c r="AS23" i="1" s="1"/>
  <c r="AT23" i="1" s="1"/>
  <c r="AR24" i="1"/>
  <c r="AU24" i="1" s="1"/>
  <c r="AQ24" i="1" s="1"/>
  <c r="AR25" i="1"/>
  <c r="AU25" i="1" s="1"/>
  <c r="AR26" i="1"/>
  <c r="AU26" i="1" s="1"/>
  <c r="AV26" i="1" s="1"/>
  <c r="AR27" i="1"/>
  <c r="AU27" i="1" s="1"/>
  <c r="AV27" i="1" s="1"/>
  <c r="AR28" i="1"/>
  <c r="AU28" i="1" s="1"/>
  <c r="AR29" i="1"/>
  <c r="AR30" i="1"/>
  <c r="AR31" i="1"/>
  <c r="AS31" i="1" s="1"/>
  <c r="AT31" i="1" s="1"/>
  <c r="AR32" i="1"/>
  <c r="AR33" i="1"/>
  <c r="AU33" i="1" s="1"/>
  <c r="AR34" i="1"/>
  <c r="AR35" i="1"/>
  <c r="AR36" i="1"/>
  <c r="AR37" i="1"/>
  <c r="AR38" i="1"/>
  <c r="AU38" i="1" s="1"/>
  <c r="AV38" i="1" s="1"/>
  <c r="AR39" i="1"/>
  <c r="AU39" i="1" s="1"/>
  <c r="AR40" i="1"/>
  <c r="AU40" i="1" s="1"/>
  <c r="AR41" i="1"/>
  <c r="AU41" i="1" s="1"/>
  <c r="AR42" i="1"/>
  <c r="AR43" i="1"/>
  <c r="AR44" i="1"/>
  <c r="AS44" i="1" s="1"/>
  <c r="AT44" i="1" s="1"/>
  <c r="AR45" i="1"/>
  <c r="AS45" i="1" s="1"/>
  <c r="AT45" i="1" s="1"/>
  <c r="AR46" i="1"/>
  <c r="AS46" i="1" s="1"/>
  <c r="AT46" i="1" s="1"/>
  <c r="AR47" i="1"/>
  <c r="AR48" i="1"/>
  <c r="AS48" i="1" s="1"/>
  <c r="AT48" i="1" s="1"/>
  <c r="AR49" i="1"/>
  <c r="AS49" i="1" s="1"/>
  <c r="AT49" i="1" s="1"/>
  <c r="AR50" i="1"/>
  <c r="AR51" i="1"/>
  <c r="AR52" i="1"/>
  <c r="AR53" i="1"/>
  <c r="AS53" i="1" s="1"/>
  <c r="AT53" i="1" s="1"/>
  <c r="AR54" i="1"/>
  <c r="AU54" i="1" s="1"/>
  <c r="AR55" i="1"/>
  <c r="AR56" i="1"/>
  <c r="AR57" i="1"/>
  <c r="AR58" i="1"/>
  <c r="AR59" i="1"/>
  <c r="AR60" i="1"/>
  <c r="AU60" i="1" s="1"/>
  <c r="AR61" i="1"/>
  <c r="AR62" i="1"/>
  <c r="AR63" i="1"/>
  <c r="AR64" i="1"/>
  <c r="AR65" i="1"/>
  <c r="AR66" i="1"/>
  <c r="AU66" i="1" s="1"/>
  <c r="AV66" i="1" s="1"/>
  <c r="AR67" i="1"/>
  <c r="AU67" i="1" s="1"/>
  <c r="AV67" i="1" s="1"/>
  <c r="AR68" i="1"/>
  <c r="AU68" i="1" s="1"/>
  <c r="AV68" i="1" s="1"/>
  <c r="AR69" i="1"/>
  <c r="AR70" i="1"/>
  <c r="AU70" i="1" s="1"/>
  <c r="AR71" i="1"/>
  <c r="AR72" i="1"/>
  <c r="AR73" i="1"/>
  <c r="AU73" i="1" s="1"/>
  <c r="AR74" i="1"/>
  <c r="AR75" i="1"/>
  <c r="AR76" i="1"/>
  <c r="AR77" i="1"/>
  <c r="AS77" i="1" s="1"/>
  <c r="AT77" i="1" s="1"/>
  <c r="AR78" i="1"/>
  <c r="AS78" i="1" s="1"/>
  <c r="AR79" i="1"/>
  <c r="AU79" i="1" s="1"/>
  <c r="AR80" i="1"/>
  <c r="AR81" i="1"/>
  <c r="AU81" i="1" s="1"/>
  <c r="AV81" i="1" s="1"/>
  <c r="AR82" i="1"/>
  <c r="AU82" i="1" s="1"/>
  <c r="AR83" i="1"/>
  <c r="AU83" i="1" s="1"/>
  <c r="AR84" i="1"/>
  <c r="AU84" i="1" s="1"/>
  <c r="AR85" i="1"/>
  <c r="AR86" i="1"/>
  <c r="AR87" i="1"/>
  <c r="AS87" i="1" s="1"/>
  <c r="AT87" i="1" s="1"/>
  <c r="AR88" i="1"/>
  <c r="AR89" i="1"/>
  <c r="AR90" i="1"/>
  <c r="AR91" i="1"/>
  <c r="AR92" i="1"/>
  <c r="AR93" i="1"/>
  <c r="AR94" i="1"/>
  <c r="AR95" i="1"/>
  <c r="AS95" i="1" s="1"/>
  <c r="AT95" i="1" s="1"/>
  <c r="AR96" i="1"/>
  <c r="AU96" i="1" s="1"/>
  <c r="AQ96" i="1" s="1"/>
  <c r="AR97" i="1"/>
  <c r="AR98" i="1"/>
  <c r="AU98" i="1" s="1"/>
  <c r="AR99" i="1"/>
  <c r="AS99" i="1" s="1"/>
  <c r="AT99" i="1" s="1"/>
  <c r="AR100" i="1"/>
  <c r="AS100" i="1" s="1"/>
  <c r="AT100" i="1" s="1"/>
  <c r="AR101" i="1"/>
  <c r="AR102" i="1"/>
  <c r="AS102" i="1" s="1"/>
  <c r="AT102" i="1" s="1"/>
  <c r="AR103" i="1"/>
  <c r="AR104" i="1"/>
  <c r="AS104" i="1" s="1"/>
  <c r="AT104" i="1" s="1"/>
  <c r="AR105" i="1"/>
  <c r="AS105" i="1" s="1"/>
  <c r="AT105" i="1" s="1"/>
  <c r="AR106" i="1"/>
  <c r="AS106" i="1" s="1"/>
  <c r="AT106" i="1" s="1"/>
  <c r="AR107" i="1"/>
  <c r="AU107" i="1" s="1"/>
  <c r="AR108" i="1"/>
  <c r="AR109" i="1"/>
  <c r="AR110" i="1"/>
  <c r="AU110" i="1" s="1"/>
  <c r="AR111" i="1"/>
  <c r="AU111" i="1" s="1"/>
  <c r="AR112" i="1"/>
  <c r="AR113" i="1"/>
  <c r="AR114" i="1"/>
  <c r="AU114" i="1" s="1"/>
  <c r="AV114" i="1" s="1"/>
  <c r="AR115" i="1"/>
  <c r="AS115" i="1" s="1"/>
  <c r="AT115" i="1" s="1"/>
  <c r="AR116" i="1"/>
  <c r="AR117" i="1"/>
  <c r="AU117" i="1" s="1"/>
  <c r="AR118" i="1"/>
  <c r="AR119" i="1"/>
  <c r="AS119" i="1" s="1"/>
  <c r="AT119" i="1" s="1"/>
  <c r="AR120" i="1"/>
  <c r="AS120" i="1" s="1"/>
  <c r="AT120" i="1" s="1"/>
  <c r="AR121" i="1"/>
  <c r="AU121" i="1" s="1"/>
  <c r="AR122" i="1"/>
  <c r="AR123" i="1"/>
  <c r="AU123" i="1" s="1"/>
  <c r="AR124" i="1"/>
  <c r="AU124" i="1" s="1"/>
  <c r="AV124" i="1" s="1"/>
  <c r="AR125" i="1"/>
  <c r="AU125" i="1" s="1"/>
  <c r="AV125" i="1" s="1"/>
  <c r="AR126" i="1"/>
  <c r="AU126" i="1" s="1"/>
  <c r="AV126" i="1" s="1"/>
  <c r="AR127" i="1"/>
  <c r="AR128" i="1"/>
  <c r="AR129" i="1"/>
  <c r="AR130" i="1"/>
  <c r="AS130" i="1" s="1"/>
  <c r="AT130" i="1" s="1"/>
  <c r="AR131" i="1"/>
  <c r="AS131" i="1" s="1"/>
  <c r="AR132" i="1"/>
  <c r="AR133" i="1"/>
  <c r="AR134" i="1"/>
  <c r="AR135" i="1"/>
  <c r="AR136" i="1"/>
  <c r="AS136" i="1" s="1"/>
  <c r="AR137" i="1"/>
  <c r="AS137" i="1" s="1"/>
  <c r="AT137" i="1" s="1"/>
  <c r="AR138" i="1"/>
  <c r="AU138" i="1" s="1"/>
  <c r="AV138" i="1" s="1"/>
  <c r="AR139" i="1"/>
  <c r="AR140" i="1"/>
  <c r="AR141" i="1"/>
  <c r="AS141" i="1" s="1"/>
  <c r="AT141" i="1" s="1"/>
  <c r="AR142" i="1"/>
  <c r="AR143" i="1"/>
  <c r="AR144" i="1"/>
  <c r="AU144" i="1" s="1"/>
  <c r="AR145" i="1"/>
  <c r="AU145" i="1" s="1"/>
  <c r="AR146" i="1"/>
  <c r="AR147" i="1"/>
  <c r="AR148" i="1"/>
  <c r="AR149" i="1"/>
  <c r="AR150" i="1"/>
  <c r="AR151" i="1"/>
  <c r="AR152" i="1"/>
  <c r="AU152" i="1" s="1"/>
  <c r="AR153" i="1"/>
  <c r="AR154" i="1"/>
  <c r="AR155" i="1"/>
  <c r="AS155" i="1" s="1"/>
  <c r="AT155" i="1" s="1"/>
  <c r="AQ155" i="1" s="1"/>
  <c r="AR156" i="1"/>
  <c r="AR157" i="1"/>
  <c r="AR158" i="1"/>
  <c r="AS158" i="1" s="1"/>
  <c r="AT158" i="1" s="1"/>
  <c r="AR159" i="1"/>
  <c r="AS159" i="1" s="1"/>
  <c r="AR160" i="1"/>
  <c r="AR161" i="1"/>
  <c r="AR162" i="1"/>
  <c r="AR163" i="1"/>
  <c r="AR164" i="1"/>
  <c r="AR165" i="1"/>
  <c r="AS165" i="1" s="1"/>
  <c r="AT165" i="1" s="1"/>
  <c r="AR166" i="1"/>
  <c r="AU166" i="1" s="1"/>
  <c r="AR167" i="1"/>
  <c r="AU167" i="1" s="1"/>
  <c r="AR168" i="1"/>
  <c r="AU168" i="1" s="1"/>
  <c r="AR169" i="1"/>
  <c r="AR170" i="1"/>
  <c r="AR171" i="1"/>
  <c r="AR172" i="1"/>
  <c r="AS172" i="1" s="1"/>
  <c r="AT172" i="1" s="1"/>
  <c r="AR173" i="1"/>
  <c r="AR174" i="1"/>
  <c r="AR175" i="1"/>
  <c r="AR176" i="1"/>
  <c r="AR177" i="1"/>
  <c r="AR178" i="1"/>
  <c r="AU178" i="1" s="1"/>
  <c r="AV178" i="1" s="1"/>
  <c r="AR179" i="1"/>
  <c r="AU179" i="1" s="1"/>
  <c r="AV179" i="1" s="1"/>
  <c r="AR180" i="1"/>
  <c r="AU180" i="1" s="1"/>
  <c r="AV180" i="1" s="1"/>
  <c r="AR181" i="1"/>
  <c r="AU181" i="1" s="1"/>
  <c r="AV181" i="1" s="1"/>
  <c r="AR182" i="1"/>
  <c r="AR183" i="1"/>
  <c r="AR184" i="1"/>
  <c r="AU184" i="1" s="1"/>
  <c r="AR185" i="1"/>
  <c r="AU185" i="1" s="1"/>
  <c r="AQ185" i="1" s="1"/>
  <c r="AR186" i="1"/>
  <c r="AU186" i="1" s="1"/>
  <c r="AR187" i="1"/>
  <c r="AU187" i="1" s="1"/>
  <c r="AV187" i="1" s="1"/>
  <c r="AR188" i="1"/>
  <c r="AR189" i="1"/>
  <c r="AR190" i="1"/>
  <c r="AR191" i="1"/>
  <c r="AU191" i="1" s="1"/>
  <c r="AR192" i="1"/>
  <c r="AR193" i="1"/>
  <c r="AS193" i="1" s="1"/>
  <c r="AT193" i="1" s="1"/>
  <c r="AR194" i="1"/>
  <c r="AU194" i="1" s="1"/>
  <c r="AR195" i="1"/>
  <c r="AR196" i="1"/>
  <c r="AR197" i="1"/>
  <c r="AS197" i="1" s="1"/>
  <c r="AT197" i="1" s="1"/>
  <c r="AR198" i="1"/>
  <c r="AR199" i="1"/>
  <c r="AR200" i="1"/>
  <c r="AS200" i="1" s="1"/>
  <c r="AT200" i="1" s="1"/>
  <c r="AR201" i="1"/>
  <c r="AS201" i="1" s="1"/>
  <c r="AT201" i="1" s="1"/>
  <c r="AR202" i="1"/>
  <c r="AS202" i="1" s="1"/>
  <c r="AT202" i="1" s="1"/>
  <c r="AR203" i="1"/>
  <c r="AS203" i="1" s="1"/>
  <c r="AT203" i="1" s="1"/>
  <c r="AR204" i="1"/>
  <c r="AR205" i="1"/>
  <c r="AR206" i="1"/>
  <c r="AU206" i="1" s="1"/>
  <c r="AV206" i="1" s="1"/>
  <c r="AR207" i="1"/>
  <c r="AU207" i="1" s="1"/>
  <c r="AV207" i="1" s="1"/>
  <c r="AR208" i="1"/>
  <c r="AU208" i="1" s="1"/>
  <c r="AV208" i="1" s="1"/>
  <c r="AR209" i="1"/>
  <c r="AU209" i="1" s="1"/>
  <c r="AR210" i="1"/>
  <c r="AR211" i="1"/>
  <c r="AR212" i="1"/>
  <c r="AR213" i="1"/>
  <c r="AU213" i="1" s="1"/>
  <c r="AV213" i="1" s="1"/>
  <c r="AR214" i="1"/>
  <c r="AR215" i="1"/>
  <c r="AR216" i="1"/>
  <c r="AR217" i="1"/>
  <c r="AR218" i="1"/>
  <c r="AR219" i="1"/>
  <c r="AU219" i="1" s="1"/>
  <c r="AR220" i="1"/>
  <c r="AR221" i="1"/>
  <c r="AU221" i="1" s="1"/>
  <c r="AR222" i="1"/>
  <c r="AU222" i="1" s="1"/>
  <c r="AR223" i="1"/>
  <c r="AU223" i="1" s="1"/>
  <c r="AR224" i="1"/>
  <c r="AU224" i="1" s="1"/>
  <c r="AV224" i="1" s="1"/>
  <c r="AR225" i="1"/>
  <c r="AR226" i="1"/>
  <c r="AR227" i="1"/>
  <c r="AR228" i="1"/>
  <c r="AS228" i="1" s="1"/>
  <c r="AT228" i="1" s="1"/>
  <c r="AR229" i="1"/>
  <c r="AS229" i="1" s="1"/>
  <c r="AT229" i="1" s="1"/>
  <c r="AR230" i="1"/>
  <c r="AS230" i="1" s="1"/>
  <c r="AT230" i="1" s="1"/>
  <c r="AR231" i="1"/>
  <c r="AR232" i="1"/>
  <c r="AR233" i="1"/>
  <c r="AR234" i="1"/>
  <c r="AS234" i="1" s="1"/>
  <c r="AR235" i="1"/>
  <c r="AR2" i="1"/>
  <c r="AU2" i="1" s="1"/>
  <c r="AO235" i="1"/>
  <c r="AM235" i="1"/>
  <c r="AK235" i="1"/>
  <c r="AO234" i="1"/>
  <c r="AM234" i="1"/>
  <c r="AK234" i="1"/>
  <c r="AP6" i="1"/>
  <c r="AP10" i="1"/>
  <c r="AP11" i="1"/>
  <c r="AP12" i="1"/>
  <c r="AP14" i="1"/>
  <c r="AP16" i="1"/>
  <c r="AP19" i="1"/>
  <c r="AP20" i="1"/>
  <c r="AP21" i="1"/>
  <c r="AP26" i="1"/>
  <c r="AP30" i="1"/>
  <c r="AP32" i="1"/>
  <c r="AP33" i="1"/>
  <c r="AP38" i="1"/>
  <c r="AP42" i="1"/>
  <c r="AP43" i="1"/>
  <c r="AP44" i="1"/>
  <c r="AP46" i="1"/>
  <c r="AP48" i="1"/>
  <c r="AP51" i="1"/>
  <c r="AP52" i="1"/>
  <c r="AP59" i="1"/>
  <c r="AP61" i="1"/>
  <c r="AP62" i="1"/>
  <c r="AP68" i="1"/>
  <c r="AP72" i="1"/>
  <c r="AP73" i="1"/>
  <c r="AP74" i="1"/>
  <c r="AP76" i="1"/>
  <c r="AP78" i="1"/>
  <c r="AP81" i="1"/>
  <c r="AP82" i="1"/>
  <c r="AP89" i="1"/>
  <c r="AP91" i="1"/>
  <c r="AP92" i="1"/>
  <c r="AP101" i="1"/>
  <c r="AP102" i="1"/>
  <c r="AP104" i="1"/>
  <c r="AP106" i="1"/>
  <c r="AP109" i="1"/>
  <c r="AP116" i="1"/>
  <c r="AP118" i="1"/>
  <c r="AP119" i="1"/>
  <c r="AP133" i="1"/>
  <c r="AP136" i="1"/>
  <c r="AP143" i="1"/>
  <c r="AP145" i="1"/>
  <c r="AP146" i="1"/>
  <c r="AP161" i="1"/>
  <c r="AP172" i="1"/>
  <c r="AP174" i="1"/>
  <c r="AP175" i="1"/>
  <c r="AP200" i="1"/>
  <c r="AP202" i="1"/>
  <c r="AP232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83" i="1"/>
  <c r="AQ235" i="1" l="1"/>
  <c r="AS227" i="1"/>
  <c r="AT227" i="1" s="1"/>
  <c r="AU227" i="1"/>
  <c r="AU171" i="1"/>
  <c r="AV171" i="1" s="1"/>
  <c r="AS171" i="1"/>
  <c r="AT171" i="1" s="1"/>
  <c r="AS157" i="1"/>
  <c r="AT157" i="1" s="1"/>
  <c r="AU157" i="1"/>
  <c r="AQ157" i="1" s="1"/>
  <c r="AS129" i="1"/>
  <c r="AT129" i="1" s="1"/>
  <c r="AU129" i="1"/>
  <c r="AV129" i="1" s="1"/>
  <c r="AQ129" i="1" s="1"/>
  <c r="AQ73" i="1"/>
  <c r="AS226" i="1"/>
  <c r="AT226" i="1" s="1"/>
  <c r="AU226" i="1"/>
  <c r="AU198" i="1"/>
  <c r="AV198" i="1" s="1"/>
  <c r="AS198" i="1"/>
  <c r="AT198" i="1" s="1"/>
  <c r="AU142" i="1"/>
  <c r="AV142" i="1" s="1"/>
  <c r="AS142" i="1"/>
  <c r="AT142" i="1" s="1"/>
  <c r="AS86" i="1"/>
  <c r="AT86" i="1" s="1"/>
  <c r="AU86" i="1"/>
  <c r="AS16" i="1"/>
  <c r="AT16" i="1" s="1"/>
  <c r="AU16" i="1"/>
  <c r="AV16" i="1" s="1"/>
  <c r="AQ16" i="1" s="1"/>
  <c r="AS211" i="1"/>
  <c r="AT211" i="1" s="1"/>
  <c r="AU211" i="1"/>
  <c r="AV211" i="1" s="1"/>
  <c r="AS169" i="1"/>
  <c r="AT169" i="1" s="1"/>
  <c r="AU169" i="1"/>
  <c r="AU113" i="1"/>
  <c r="AS113" i="1"/>
  <c r="AT113" i="1" s="1"/>
  <c r="AU29" i="1"/>
  <c r="AS29" i="1"/>
  <c r="AT29" i="1" s="1"/>
  <c r="AV49" i="1"/>
  <c r="AQ49" i="1" s="1"/>
  <c r="AT82" i="1"/>
  <c r="AQ82" i="1"/>
  <c r="AU87" i="1"/>
  <c r="AQ223" i="1"/>
  <c r="AU199" i="1"/>
  <c r="AV199" i="1" s="1"/>
  <c r="AQ199" i="1" s="1"/>
  <c r="AS199" i="1"/>
  <c r="AT199" i="1" s="1"/>
  <c r="AU30" i="1"/>
  <c r="AV30" i="1" s="1"/>
  <c r="AQ30" i="1" s="1"/>
  <c r="AS30" i="1"/>
  <c r="AT30" i="1" s="1"/>
  <c r="AU183" i="1"/>
  <c r="AV183" i="1" s="1"/>
  <c r="AQ183" i="1" s="1"/>
  <c r="AS183" i="1"/>
  <c r="AT183" i="1" s="1"/>
  <c r="AU127" i="1"/>
  <c r="AS127" i="1"/>
  <c r="AT127" i="1" s="1"/>
  <c r="AS43" i="1"/>
  <c r="AT43" i="1" s="1"/>
  <c r="AU43" i="1"/>
  <c r="AT52" i="1"/>
  <c r="AQ52" i="1"/>
  <c r="AU141" i="1"/>
  <c r="AV141" i="1" s="1"/>
  <c r="AU45" i="1"/>
  <c r="AU128" i="1"/>
  <c r="AS128" i="1"/>
  <c r="AT128" i="1" s="1"/>
  <c r="AU58" i="1"/>
  <c r="AV58" i="1" s="1"/>
  <c r="AQ58" i="1" s="1"/>
  <c r="AS58" i="1"/>
  <c r="AT58" i="1" s="1"/>
  <c r="AS85" i="1"/>
  <c r="AT85" i="1" s="1"/>
  <c r="AU85" i="1"/>
  <c r="AU57" i="1"/>
  <c r="AS57" i="1"/>
  <c r="AT57" i="1" s="1"/>
  <c r="AU44" i="1"/>
  <c r="AV44" i="1" s="1"/>
  <c r="AU143" i="1"/>
  <c r="AV143" i="1" s="1"/>
  <c r="AS143" i="1"/>
  <c r="AT143" i="1" s="1"/>
  <c r="AU101" i="1"/>
  <c r="AS101" i="1"/>
  <c r="AT101" i="1" s="1"/>
  <c r="AU212" i="1"/>
  <c r="AV212" i="1" s="1"/>
  <c r="AS212" i="1"/>
  <c r="AT212" i="1" s="1"/>
  <c r="AS156" i="1"/>
  <c r="AT156" i="1" s="1"/>
  <c r="AU156" i="1"/>
  <c r="AS3" i="1"/>
  <c r="AT3" i="1" s="1"/>
  <c r="AU71" i="1"/>
  <c r="AV71" i="1" s="1"/>
  <c r="AQ71" i="1" s="1"/>
  <c r="AS71" i="1"/>
  <c r="AT71" i="1" s="1"/>
  <c r="AS15" i="1"/>
  <c r="AT15" i="1" s="1"/>
  <c r="AU15" i="1"/>
  <c r="AV15" i="1" s="1"/>
  <c r="AU59" i="1"/>
  <c r="AS59" i="1"/>
  <c r="AT59" i="1" s="1"/>
  <c r="AS17" i="1"/>
  <c r="AT17" i="1" s="1"/>
  <c r="AU17" i="1"/>
  <c r="AV17" i="1" s="1"/>
  <c r="AU170" i="1"/>
  <c r="AV170" i="1" s="1"/>
  <c r="AS170" i="1"/>
  <c r="AT170" i="1" s="1"/>
  <c r="AU72" i="1"/>
  <c r="AQ72" i="1" s="1"/>
  <c r="AS72" i="1"/>
  <c r="AT72" i="1" s="1"/>
  <c r="AS225" i="1"/>
  <c r="AT225" i="1" s="1"/>
  <c r="AU225" i="1"/>
  <c r="AV225" i="1" s="1"/>
  <c r="AQ11" i="1"/>
  <c r="AV11" i="1"/>
  <c r="AU197" i="1"/>
  <c r="AU100" i="1"/>
  <c r="AV193" i="1"/>
  <c r="AQ193" i="1"/>
  <c r="AU99" i="1"/>
  <c r="AS205" i="1"/>
  <c r="AT205" i="1" s="1"/>
  <c r="AU205" i="1"/>
  <c r="AV205" i="1" s="1"/>
  <c r="AS177" i="1"/>
  <c r="AT177" i="1" s="1"/>
  <c r="AU177" i="1"/>
  <c r="AV177" i="1" s="1"/>
  <c r="AS65" i="1"/>
  <c r="AT65" i="1" s="1"/>
  <c r="AU65" i="1"/>
  <c r="AV65" i="1" s="1"/>
  <c r="AU9" i="1"/>
  <c r="AV9" i="1" s="1"/>
  <c r="AQ9" i="1" s="1"/>
  <c r="AS9" i="1"/>
  <c r="AT9" i="1" s="1"/>
  <c r="AU23" i="1"/>
  <c r="AV23" i="1" s="1"/>
  <c r="AS204" i="1"/>
  <c r="AT204" i="1" s="1"/>
  <c r="AU204" i="1"/>
  <c r="AS148" i="1"/>
  <c r="AT148" i="1" s="1"/>
  <c r="AU148" i="1"/>
  <c r="AS64" i="1"/>
  <c r="AT64" i="1" s="1"/>
  <c r="AU64" i="1"/>
  <c r="AV64" i="1" s="1"/>
  <c r="AT26" i="1"/>
  <c r="AQ26" i="1" s="1"/>
  <c r="AU165" i="1"/>
  <c r="AU22" i="1"/>
  <c r="AV22" i="1" s="1"/>
  <c r="AS147" i="1"/>
  <c r="AT147" i="1" s="1"/>
  <c r="AU147" i="1"/>
  <c r="AS7" i="1"/>
  <c r="AT7" i="1" s="1"/>
  <c r="AU7" i="1"/>
  <c r="AS207" i="1"/>
  <c r="AT207" i="1" s="1"/>
  <c r="AS25" i="1"/>
  <c r="AT25" i="1" s="1"/>
  <c r="AU21" i="1"/>
  <c r="AV21" i="1" s="1"/>
  <c r="AS6" i="1"/>
  <c r="AT6" i="1" s="1"/>
  <c r="AU6" i="1"/>
  <c r="AS103" i="1"/>
  <c r="AT103" i="1" s="1"/>
  <c r="AU103" i="1"/>
  <c r="AV103" i="1" s="1"/>
  <c r="AQ103" i="1" s="1"/>
  <c r="AT138" i="1"/>
  <c r="AQ138" i="1" s="1"/>
  <c r="AU203" i="1"/>
  <c r="AV203" i="1" s="1"/>
  <c r="AQ203" i="1" s="1"/>
  <c r="AU120" i="1"/>
  <c r="AU53" i="1"/>
  <c r="AV53" i="1" s="1"/>
  <c r="AQ53" i="1" s="1"/>
  <c r="AQ83" i="1"/>
  <c r="AS5" i="1"/>
  <c r="AT5" i="1" s="1"/>
  <c r="AU202" i="1"/>
  <c r="AU119" i="1"/>
  <c r="AS109" i="1"/>
  <c r="AT109" i="1" s="1"/>
  <c r="AU109" i="1"/>
  <c r="AV109" i="1" s="1"/>
  <c r="AV39" i="1"/>
  <c r="AQ39" i="1" s="1"/>
  <c r="AS67" i="1"/>
  <c r="AT67" i="1" s="1"/>
  <c r="AS108" i="1"/>
  <c r="AT108" i="1" s="1"/>
  <c r="AU108" i="1"/>
  <c r="AV108" i="1" s="1"/>
  <c r="AS179" i="1"/>
  <c r="AT179" i="1" s="1"/>
  <c r="AQ179" i="1" s="1"/>
  <c r="AS66" i="1"/>
  <c r="AU131" i="1"/>
  <c r="AV131" i="1" s="1"/>
  <c r="AQ125" i="1"/>
  <c r="AQ110" i="1"/>
  <c r="AQ124" i="1"/>
  <c r="AS70" i="1"/>
  <c r="AT70" i="1" s="1"/>
  <c r="AV79" i="1"/>
  <c r="AV60" i="1"/>
  <c r="AQ60" i="1" s="1"/>
  <c r="AS32" i="1"/>
  <c r="AT32" i="1" s="1"/>
  <c r="AU32" i="1"/>
  <c r="AT180" i="1"/>
  <c r="AQ180" i="1" s="1"/>
  <c r="AV159" i="1"/>
  <c r="AQ159" i="1" s="1"/>
  <c r="AV136" i="1"/>
  <c r="AQ136" i="1"/>
  <c r="AQ77" i="1"/>
  <c r="AQ44" i="1"/>
  <c r="AQ206" i="1"/>
  <c r="AV186" i="1"/>
  <c r="AU182" i="1"/>
  <c r="AS182" i="1"/>
  <c r="AT182" i="1" s="1"/>
  <c r="AV150" i="1"/>
  <c r="AQ150" i="1"/>
  <c r="AS214" i="1"/>
  <c r="AT214" i="1" s="1"/>
  <c r="AU214" i="1"/>
  <c r="AQ214" i="1" s="1"/>
  <c r="AU74" i="1"/>
  <c r="AS74" i="1"/>
  <c r="AT74" i="1" s="1"/>
  <c r="AQ213" i="1"/>
  <c r="AU158" i="1"/>
  <c r="AU102" i="1"/>
  <c r="AV221" i="1"/>
  <c r="AQ221" i="1" s="1"/>
  <c r="AU130" i="1"/>
  <c r="AV220" i="1"/>
  <c r="AV184" i="1"/>
  <c r="AQ184" i="1" s="1"/>
  <c r="AV100" i="1"/>
  <c r="AQ100" i="1" s="1"/>
  <c r="AU210" i="1"/>
  <c r="AS210" i="1"/>
  <c r="AT210" i="1" s="1"/>
  <c r="AV98" i="1"/>
  <c r="AQ98" i="1" s="1"/>
  <c r="AU56" i="1"/>
  <c r="AQ56" i="1" s="1"/>
  <c r="AS56" i="1"/>
  <c r="AT56" i="1" s="1"/>
  <c r="AV28" i="1"/>
  <c r="AV6" i="1"/>
  <c r="AV121" i="1"/>
  <c r="AQ121" i="1"/>
  <c r="AQ198" i="1"/>
  <c r="AV24" i="1"/>
  <c r="AV168" i="1"/>
  <c r="AV123" i="1"/>
  <c r="AQ123" i="1" s="1"/>
  <c r="AS116" i="1"/>
  <c r="AT116" i="1" s="1"/>
  <c r="AU116" i="1"/>
  <c r="AS88" i="1"/>
  <c r="AT88" i="1" s="1"/>
  <c r="AU88" i="1"/>
  <c r="AV185" i="1"/>
  <c r="AV101" i="1"/>
  <c r="AQ101" i="1" s="1"/>
  <c r="AQ151" i="1"/>
  <c r="AU196" i="1"/>
  <c r="AS196" i="1"/>
  <c r="AT196" i="1" s="1"/>
  <c r="AU154" i="1"/>
  <c r="AS154" i="1"/>
  <c r="AT154" i="1" s="1"/>
  <c r="AU140" i="1"/>
  <c r="AQ140" i="1" s="1"/>
  <c r="AS140" i="1"/>
  <c r="AT140" i="1" s="1"/>
  <c r="AU112" i="1"/>
  <c r="AQ112" i="1" s="1"/>
  <c r="AS112" i="1"/>
  <c r="AT112" i="1" s="1"/>
  <c r="AV70" i="1"/>
  <c r="AQ70" i="1"/>
  <c r="AU42" i="1"/>
  <c r="AS42" i="1"/>
  <c r="AT42" i="1" s="1"/>
  <c r="AU14" i="1"/>
  <c r="AS14" i="1"/>
  <c r="AT14" i="1" s="1"/>
  <c r="AV99" i="1"/>
  <c r="AQ99" i="1" s="1"/>
  <c r="AS144" i="1"/>
  <c r="AT144" i="1" s="1"/>
  <c r="AV122" i="1"/>
  <c r="AQ122" i="1" s="1"/>
  <c r="AV59" i="1"/>
  <c r="AQ59" i="1" s="1"/>
  <c r="AQ5" i="1"/>
  <c r="AV5" i="1"/>
  <c r="AV84" i="1"/>
  <c r="AQ12" i="1"/>
  <c r="AV25" i="1"/>
  <c r="AQ4" i="1"/>
  <c r="AS224" i="1"/>
  <c r="AS84" i="1"/>
  <c r="AT84" i="1" s="1"/>
  <c r="AT10" i="1"/>
  <c r="AQ10" i="1" s="1"/>
  <c r="AV149" i="1"/>
  <c r="AQ149" i="1"/>
  <c r="AS168" i="1"/>
  <c r="AV204" i="1"/>
  <c r="AQ204" i="1"/>
  <c r="AU172" i="1"/>
  <c r="AV148" i="1"/>
  <c r="AQ148" i="1"/>
  <c r="AV119" i="1"/>
  <c r="AQ119" i="1" s="1"/>
  <c r="AU233" i="1"/>
  <c r="AS233" i="1"/>
  <c r="AT233" i="1" s="1"/>
  <c r="AV219" i="1"/>
  <c r="AV191" i="1"/>
  <c r="AS163" i="1"/>
  <c r="AT163" i="1" s="1"/>
  <c r="AU163" i="1"/>
  <c r="AS135" i="1"/>
  <c r="AT135" i="1" s="1"/>
  <c r="AU135" i="1"/>
  <c r="AV107" i="1"/>
  <c r="AU93" i="1"/>
  <c r="AS93" i="1"/>
  <c r="AT93" i="1" s="1"/>
  <c r="AS51" i="1"/>
  <c r="AT51" i="1" s="1"/>
  <c r="AU51" i="1"/>
  <c r="AU37" i="1"/>
  <c r="AQ37" i="1" s="1"/>
  <c r="AS37" i="1"/>
  <c r="AT37" i="1" s="1"/>
  <c r="AQ192" i="1"/>
  <c r="AS28" i="1"/>
  <c r="AT28" i="1" s="1"/>
  <c r="AT234" i="1"/>
  <c r="AQ234" i="1" s="1"/>
  <c r="AV29" i="1"/>
  <c r="AQ29" i="1" s="1"/>
  <c r="AQ177" i="1"/>
  <c r="AQ22" i="1"/>
  <c r="AS232" i="1"/>
  <c r="AT232" i="1" s="1"/>
  <c r="AU232" i="1"/>
  <c r="AS218" i="1"/>
  <c r="AT218" i="1" s="1"/>
  <c r="AU218" i="1"/>
  <c r="AS190" i="1"/>
  <c r="AT190" i="1" s="1"/>
  <c r="AU190" i="1"/>
  <c r="AS176" i="1"/>
  <c r="AT176" i="1" s="1"/>
  <c r="AU176" i="1"/>
  <c r="AS162" i="1"/>
  <c r="AT162" i="1" s="1"/>
  <c r="AU162" i="1"/>
  <c r="AS134" i="1"/>
  <c r="AT134" i="1" s="1"/>
  <c r="AU134" i="1"/>
  <c r="AS92" i="1"/>
  <c r="AT92" i="1" s="1"/>
  <c r="AU92" i="1"/>
  <c r="AS50" i="1"/>
  <c r="AT50" i="1" s="1"/>
  <c r="AU50" i="1"/>
  <c r="AS36" i="1"/>
  <c r="AT36" i="1" s="1"/>
  <c r="AU36" i="1"/>
  <c r="AQ36" i="1" s="1"/>
  <c r="AS8" i="1"/>
  <c r="AT8" i="1" s="1"/>
  <c r="AU8" i="1"/>
  <c r="AS191" i="1"/>
  <c r="AT191" i="1" s="1"/>
  <c r="AQ230" i="1"/>
  <c r="AV202" i="1"/>
  <c r="AQ202" i="1" s="1"/>
  <c r="AQ81" i="1"/>
  <c r="AV48" i="1"/>
  <c r="AQ48" i="1" s="1"/>
  <c r="AQ21" i="1"/>
  <c r="AS231" i="1"/>
  <c r="AT231" i="1" s="1"/>
  <c r="AU231" i="1"/>
  <c r="AS217" i="1"/>
  <c r="AT217" i="1" s="1"/>
  <c r="AU217" i="1"/>
  <c r="AS189" i="1"/>
  <c r="AT189" i="1" s="1"/>
  <c r="AU189" i="1"/>
  <c r="AS175" i="1"/>
  <c r="AT175" i="1" s="1"/>
  <c r="AU175" i="1"/>
  <c r="AS161" i="1"/>
  <c r="AT161" i="1" s="1"/>
  <c r="AU161" i="1"/>
  <c r="AS133" i="1"/>
  <c r="AT133" i="1" s="1"/>
  <c r="AU133" i="1"/>
  <c r="AS91" i="1"/>
  <c r="AT91" i="1" s="1"/>
  <c r="AU91" i="1"/>
  <c r="AS63" i="1"/>
  <c r="AT63" i="1" s="1"/>
  <c r="AU63" i="1"/>
  <c r="AS35" i="1"/>
  <c r="AT35" i="1" s="1"/>
  <c r="AU35" i="1"/>
  <c r="AQ229" i="1"/>
  <c r="AQ201" i="1"/>
  <c r="AU106" i="1"/>
  <c r="AV80" i="1"/>
  <c r="AQ80" i="1"/>
  <c r="AV47" i="1"/>
  <c r="AQ47" i="1" s="1"/>
  <c r="AU18" i="1"/>
  <c r="AQ109" i="1"/>
  <c r="AV72" i="1"/>
  <c r="AQ65" i="1"/>
  <c r="AS216" i="1"/>
  <c r="AT216" i="1" s="1"/>
  <c r="AU216" i="1"/>
  <c r="AS188" i="1"/>
  <c r="AT188" i="1" s="1"/>
  <c r="AU188" i="1"/>
  <c r="AS174" i="1"/>
  <c r="AT174" i="1" s="1"/>
  <c r="AU174" i="1"/>
  <c r="AS160" i="1"/>
  <c r="AT160" i="1" s="1"/>
  <c r="AU160" i="1"/>
  <c r="AS146" i="1"/>
  <c r="AT146" i="1" s="1"/>
  <c r="AU146" i="1"/>
  <c r="AS132" i="1"/>
  <c r="AT132" i="1" s="1"/>
  <c r="AU132" i="1"/>
  <c r="AS118" i="1"/>
  <c r="AT118" i="1" s="1"/>
  <c r="AU118" i="1"/>
  <c r="AS90" i="1"/>
  <c r="AT90" i="1" s="1"/>
  <c r="AU90" i="1"/>
  <c r="AS76" i="1"/>
  <c r="AT76" i="1" s="1"/>
  <c r="AU76" i="1"/>
  <c r="AS62" i="1"/>
  <c r="AT62" i="1" s="1"/>
  <c r="AU62" i="1"/>
  <c r="AS34" i="1"/>
  <c r="AT34" i="1" s="1"/>
  <c r="AU34" i="1"/>
  <c r="AS20" i="1"/>
  <c r="AT20" i="1" s="1"/>
  <c r="AU20" i="1"/>
  <c r="AS219" i="1"/>
  <c r="AT219" i="1" s="1"/>
  <c r="AS186" i="1"/>
  <c r="AT186" i="1" s="1"/>
  <c r="AS107" i="1"/>
  <c r="AT107" i="1" s="1"/>
  <c r="AS79" i="1"/>
  <c r="AT79" i="1" s="1"/>
  <c r="AU228" i="1"/>
  <c r="AU200" i="1"/>
  <c r="AU105" i="1"/>
  <c r="AU46" i="1"/>
  <c r="AQ208" i="1"/>
  <c r="AQ114" i="1"/>
  <c r="AQ64" i="1"/>
  <c r="AU215" i="1"/>
  <c r="AS215" i="1"/>
  <c r="AT215" i="1" s="1"/>
  <c r="AQ187" i="1"/>
  <c r="AS173" i="1"/>
  <c r="AT173" i="1" s="1"/>
  <c r="AU173" i="1"/>
  <c r="AV145" i="1"/>
  <c r="AQ145" i="1" s="1"/>
  <c r="AV117" i="1"/>
  <c r="AQ117" i="1" s="1"/>
  <c r="AS89" i="1"/>
  <c r="AT89" i="1" s="1"/>
  <c r="AU89" i="1"/>
  <c r="AU75" i="1"/>
  <c r="AS75" i="1"/>
  <c r="AT75" i="1" s="1"/>
  <c r="AS61" i="1"/>
  <c r="AT61" i="1" s="1"/>
  <c r="AU61" i="1"/>
  <c r="AV33" i="1"/>
  <c r="AQ33" i="1" s="1"/>
  <c r="AU19" i="1"/>
  <c r="AS19" i="1"/>
  <c r="AT19" i="1" s="1"/>
  <c r="AV227" i="1"/>
  <c r="AQ227" i="1" s="1"/>
  <c r="AV137" i="1"/>
  <c r="AQ137" i="1" s="1"/>
  <c r="AU104" i="1"/>
  <c r="AU78" i="1"/>
  <c r="AV45" i="1"/>
  <c r="AQ45" i="1" s="1"/>
  <c r="AV144" i="1"/>
  <c r="AQ207" i="1"/>
  <c r="AQ209" i="1"/>
  <c r="AU153" i="1"/>
  <c r="AS153" i="1"/>
  <c r="AT153" i="1" s="1"/>
  <c r="AV111" i="1"/>
  <c r="AU55" i="1"/>
  <c r="AS55" i="1"/>
  <c r="AT55" i="1" s="1"/>
  <c r="AV41" i="1"/>
  <c r="AQ41" i="1" s="1"/>
  <c r="AU13" i="1"/>
  <c r="AS13" i="1"/>
  <c r="AT13" i="1" s="1"/>
  <c r="AV165" i="1"/>
  <c r="AQ165" i="1" s="1"/>
  <c r="AV2" i="1"/>
  <c r="AQ2" i="1" s="1"/>
  <c r="AV166" i="1"/>
  <c r="AQ166" i="1" s="1"/>
  <c r="AV96" i="1"/>
  <c r="AQ54" i="1"/>
  <c r="AV40" i="1"/>
  <c r="AQ40" i="1" s="1"/>
  <c r="AV164" i="1"/>
  <c r="AQ164" i="1"/>
  <c r="AQ143" i="1"/>
  <c r="AS111" i="1"/>
  <c r="AT111" i="1" s="1"/>
  <c r="AQ211" i="1"/>
  <c r="AQ142" i="1"/>
  <c r="AU195" i="1"/>
  <c r="AS195" i="1"/>
  <c r="AT195" i="1" s="1"/>
  <c r="AV167" i="1"/>
  <c r="AQ167" i="1" s="1"/>
  <c r="AU139" i="1"/>
  <c r="AQ139" i="1" s="1"/>
  <c r="AS139" i="1"/>
  <c r="AT139" i="1" s="1"/>
  <c r="AU97" i="1"/>
  <c r="AS97" i="1"/>
  <c r="AT97" i="1" s="1"/>
  <c r="AU69" i="1"/>
  <c r="AS69" i="1"/>
  <c r="AT69" i="1" s="1"/>
  <c r="AS181" i="1"/>
  <c r="AS41" i="1"/>
  <c r="AT41" i="1" s="1"/>
  <c r="AQ141" i="1"/>
  <c r="AV87" i="1"/>
  <c r="AQ87" i="1" s="1"/>
  <c r="AQ68" i="1"/>
  <c r="AQ38" i="1"/>
  <c r="AV95" i="1"/>
  <c r="AQ95" i="1" s="1"/>
  <c r="AV57" i="1"/>
  <c r="AQ57" i="1" s="1"/>
  <c r="AS213" i="1"/>
  <c r="AT213" i="1" s="1"/>
  <c r="AS114" i="1"/>
  <c r="AT114" i="1" s="1"/>
  <c r="AS73" i="1"/>
  <c r="AT73" i="1" s="1"/>
  <c r="AU31" i="1"/>
  <c r="AV3" i="1"/>
  <c r="AU115" i="1"/>
  <c r="AV94" i="1"/>
  <c r="AQ94" i="1" s="1"/>
  <c r="AV128" i="1"/>
  <c r="AQ128" i="1" s="1"/>
  <c r="AN177" i="1"/>
  <c r="AN235" i="1"/>
  <c r="AN9" i="1"/>
  <c r="AN37" i="1"/>
  <c r="AN79" i="1"/>
  <c r="AN107" i="1"/>
  <c r="AN163" i="1"/>
  <c r="AN191" i="1"/>
  <c r="AN110" i="1"/>
  <c r="AN23" i="1"/>
  <c r="AN51" i="1"/>
  <c r="AN65" i="1"/>
  <c r="AN93" i="1"/>
  <c r="AN121" i="1"/>
  <c r="AN205" i="1"/>
  <c r="AN216" i="1"/>
  <c r="AN217" i="1"/>
  <c r="AN231" i="1"/>
  <c r="AN230" i="1"/>
  <c r="AN221" i="1"/>
  <c r="AN211" i="1"/>
  <c r="AN225" i="1"/>
  <c r="AN7" i="1"/>
  <c r="AN35" i="1"/>
  <c r="AN133" i="1"/>
  <c r="AN147" i="1"/>
  <c r="AN212" i="1"/>
  <c r="AN226" i="1"/>
  <c r="AN8" i="1"/>
  <c r="AN22" i="1"/>
  <c r="AN36" i="1"/>
  <c r="AN50" i="1"/>
  <c r="AN64" i="1"/>
  <c r="AN78" i="1"/>
  <c r="AN92" i="1"/>
  <c r="AN106" i="1"/>
  <c r="AN120" i="1"/>
  <c r="AN134" i="1"/>
  <c r="AN148" i="1"/>
  <c r="AN234" i="1"/>
  <c r="AN181" i="1"/>
  <c r="AN167" i="1"/>
  <c r="AN209" i="1"/>
  <c r="AN195" i="1"/>
  <c r="AN109" i="1"/>
  <c r="AN213" i="1"/>
  <c r="AN214" i="1"/>
  <c r="AN228" i="1"/>
  <c r="AN192" i="1"/>
  <c r="AN227" i="1"/>
  <c r="AN215" i="1"/>
  <c r="AN229" i="1"/>
  <c r="AN96" i="1"/>
  <c r="AN68" i="1"/>
  <c r="AN40" i="1"/>
  <c r="AN26" i="1"/>
  <c r="AN111" i="1"/>
  <c r="AN180" i="1"/>
  <c r="AN166" i="1"/>
  <c r="AN194" i="1"/>
  <c r="AN218" i="1"/>
  <c r="AN232" i="1"/>
  <c r="AN193" i="1"/>
  <c r="AN135" i="1"/>
  <c r="AN24" i="1"/>
  <c r="AN108" i="1"/>
  <c r="AN11" i="1"/>
  <c r="AN53" i="1"/>
  <c r="AN81" i="1"/>
  <c r="AN165" i="1"/>
  <c r="AN207" i="1"/>
  <c r="AN206" i="1"/>
  <c r="AN54" i="1"/>
  <c r="AN10" i="1"/>
  <c r="AN80" i="1"/>
  <c r="AN164" i="1"/>
  <c r="AN179" i="1"/>
  <c r="AN52" i="1"/>
  <c r="AN122" i="1"/>
  <c r="AN178" i="1"/>
  <c r="AN25" i="1"/>
  <c r="AN97" i="1"/>
  <c r="AN83" i="1"/>
  <c r="AN69" i="1"/>
  <c r="AN41" i="1"/>
  <c r="AN151" i="1"/>
  <c r="AN12" i="1"/>
  <c r="AN82" i="1"/>
  <c r="AN150" i="1"/>
  <c r="AN123" i="1"/>
  <c r="AN95" i="1"/>
  <c r="AN67" i="1"/>
  <c r="AN39" i="1"/>
  <c r="AN208" i="1"/>
  <c r="AN94" i="1"/>
  <c r="AN38" i="1"/>
  <c r="AN13" i="1"/>
  <c r="AN55" i="1"/>
  <c r="AN222" i="1"/>
  <c r="AN219" i="1"/>
  <c r="AN233" i="1"/>
  <c r="AN223" i="1"/>
  <c r="AN220" i="1"/>
  <c r="AN210" i="1"/>
  <c r="AN224" i="1"/>
  <c r="AN132" i="1"/>
  <c r="AN146" i="1"/>
  <c r="AN149" i="1"/>
  <c r="AN66" i="1"/>
  <c r="AN136" i="1"/>
  <c r="AN137" i="1"/>
  <c r="AN91" i="1"/>
  <c r="AN63" i="1"/>
  <c r="AN27" i="1"/>
  <c r="AN154" i="1"/>
  <c r="AN168" i="1"/>
  <c r="AN182" i="1"/>
  <c r="AN196" i="1"/>
  <c r="AN183" i="1"/>
  <c r="AN145" i="1"/>
  <c r="AN21" i="1"/>
  <c r="AN49" i="1"/>
  <c r="AN77" i="1"/>
  <c r="AN119" i="1"/>
  <c r="AN162" i="1"/>
  <c r="AN176" i="1"/>
  <c r="AN204" i="1"/>
  <c r="AN131" i="1"/>
  <c r="AN105" i="1"/>
  <c r="AN190" i="1"/>
  <c r="AN115" i="1"/>
  <c r="AN87" i="1"/>
  <c r="AN45" i="1"/>
  <c r="AN31" i="1"/>
  <c r="AN141" i="1"/>
  <c r="AN186" i="1"/>
  <c r="AN101" i="1"/>
  <c r="AN73" i="1"/>
  <c r="AN59" i="1"/>
  <c r="AN17" i="1"/>
  <c r="AN3" i="1"/>
  <c r="AN127" i="1"/>
  <c r="AN172" i="1"/>
  <c r="AN158" i="1"/>
  <c r="AN200" i="1"/>
  <c r="AN30" i="1"/>
  <c r="AN171" i="1"/>
  <c r="AN100" i="1"/>
  <c r="AN72" i="1"/>
  <c r="AN44" i="1"/>
  <c r="AN2" i="1"/>
  <c r="AN126" i="1"/>
  <c r="AN199" i="1"/>
  <c r="AN185" i="1"/>
  <c r="AN113" i="1"/>
  <c r="AN85" i="1"/>
  <c r="AN57" i="1"/>
  <c r="AN29" i="1"/>
  <c r="AN139" i="1"/>
  <c r="AN170" i="1"/>
  <c r="AN114" i="1"/>
  <c r="AN86" i="1"/>
  <c r="AN58" i="1"/>
  <c r="AN16" i="1"/>
  <c r="AN140" i="1"/>
  <c r="AN157" i="1"/>
  <c r="AN99" i="1"/>
  <c r="AN71" i="1"/>
  <c r="AN43" i="1"/>
  <c r="AN15" i="1"/>
  <c r="AN153" i="1"/>
  <c r="AN125" i="1"/>
  <c r="AN156" i="1"/>
  <c r="AN198" i="1"/>
  <c r="AN184" i="1"/>
  <c r="AN116" i="1"/>
  <c r="AN102" i="1"/>
  <c r="AN88" i="1"/>
  <c r="AN74" i="1"/>
  <c r="AN60" i="1"/>
  <c r="AN46" i="1"/>
  <c r="AN32" i="1"/>
  <c r="AN18" i="1"/>
  <c r="AN4" i="1"/>
  <c r="AN142" i="1"/>
  <c r="AN128" i="1"/>
  <c r="AN173" i="1"/>
  <c r="AN159" i="1"/>
  <c r="AN201" i="1"/>
  <c r="AN187" i="1"/>
  <c r="AN112" i="1"/>
  <c r="AN84" i="1"/>
  <c r="AN42" i="1"/>
  <c r="AN14" i="1"/>
  <c r="AN124" i="1"/>
  <c r="AN118" i="1"/>
  <c r="AN90" i="1"/>
  <c r="AN62" i="1"/>
  <c r="AN34" i="1"/>
  <c r="AN144" i="1"/>
  <c r="AN175" i="1"/>
  <c r="AN203" i="1"/>
  <c r="AN117" i="1"/>
  <c r="AN89" i="1"/>
  <c r="AN61" i="1"/>
  <c r="AN19" i="1"/>
  <c r="AN143" i="1"/>
  <c r="AN174" i="1"/>
  <c r="AN98" i="1"/>
  <c r="AN70" i="1"/>
  <c r="AN56" i="1"/>
  <c r="AN28" i="1"/>
  <c r="AN152" i="1"/>
  <c r="AN138" i="1"/>
  <c r="AN169" i="1"/>
  <c r="AN155" i="1"/>
  <c r="AN197" i="1"/>
  <c r="AN104" i="1"/>
  <c r="AN76" i="1"/>
  <c r="AN48" i="1"/>
  <c r="AN20" i="1"/>
  <c r="AN6" i="1"/>
  <c r="AN130" i="1"/>
  <c r="AN161" i="1"/>
  <c r="AN189" i="1"/>
  <c r="AN103" i="1"/>
  <c r="AN75" i="1"/>
  <c r="AN47" i="1"/>
  <c r="AN33" i="1"/>
  <c r="AN5" i="1"/>
  <c r="AN129" i="1"/>
  <c r="AN160" i="1"/>
  <c r="AN202" i="1"/>
  <c r="AN188" i="1"/>
  <c r="AQ156" i="1" l="1"/>
  <c r="AV156" i="1"/>
  <c r="AQ55" i="1"/>
  <c r="AQ111" i="1"/>
  <c r="AQ212" i="1"/>
  <c r="AV7" i="1"/>
  <c r="AQ7" i="1" s="1"/>
  <c r="AV157" i="1"/>
  <c r="AQ131" i="1"/>
  <c r="AQ186" i="1"/>
  <c r="AV197" i="1"/>
  <c r="AQ197" i="1"/>
  <c r="AV127" i="1"/>
  <c r="AQ127" i="1"/>
  <c r="AQ113" i="1"/>
  <c r="AV120" i="1"/>
  <c r="AQ120" i="1" s="1"/>
  <c r="AV226" i="1"/>
  <c r="AQ226" i="1" s="1"/>
  <c r="AQ85" i="1"/>
  <c r="AV85" i="1"/>
  <c r="AQ170" i="1"/>
  <c r="AQ171" i="1"/>
  <c r="AQ84" i="1"/>
  <c r="AT224" i="1"/>
  <c r="AQ224" i="1"/>
  <c r="AT66" i="1"/>
  <c r="AQ66" i="1"/>
  <c r="AQ210" i="1"/>
  <c r="AV147" i="1"/>
  <c r="AQ147" i="1"/>
  <c r="AQ196" i="1"/>
  <c r="AQ107" i="1"/>
  <c r="AQ225" i="1"/>
  <c r="AQ3" i="1"/>
  <c r="AT168" i="1"/>
  <c r="AQ168" i="1"/>
  <c r="AV113" i="1"/>
  <c r="AQ17" i="1"/>
  <c r="AQ191" i="1"/>
  <c r="AV43" i="1"/>
  <c r="AQ43" i="1"/>
  <c r="AQ23" i="1"/>
  <c r="AQ86" i="1"/>
  <c r="AV86" i="1"/>
  <c r="AQ6" i="1"/>
  <c r="AQ108" i="1"/>
  <c r="AQ205" i="1"/>
  <c r="AQ28" i="1"/>
  <c r="AQ169" i="1"/>
  <c r="AV169" i="1"/>
  <c r="AQ67" i="1"/>
  <c r="AQ97" i="1"/>
  <c r="AQ15" i="1"/>
  <c r="AQ25" i="1"/>
  <c r="AV139" i="1"/>
  <c r="AV55" i="1"/>
  <c r="AV90" i="1"/>
  <c r="AQ90" i="1"/>
  <c r="AV216" i="1"/>
  <c r="AQ216" i="1"/>
  <c r="AV135" i="1"/>
  <c r="AQ135" i="1"/>
  <c r="AV112" i="1"/>
  <c r="AV118" i="1"/>
  <c r="AQ118" i="1" s="1"/>
  <c r="AV35" i="1"/>
  <c r="AQ35" i="1" s="1"/>
  <c r="AV217" i="1"/>
  <c r="AQ217" i="1"/>
  <c r="AV8" i="1"/>
  <c r="AQ8" i="1"/>
  <c r="AV190" i="1"/>
  <c r="AQ190" i="1"/>
  <c r="AV163" i="1"/>
  <c r="AQ163" i="1"/>
  <c r="AV140" i="1"/>
  <c r="AV88" i="1"/>
  <c r="AQ88" i="1" s="1"/>
  <c r="AV173" i="1"/>
  <c r="AQ173" i="1" s="1"/>
  <c r="AV210" i="1"/>
  <c r="AV182" i="1"/>
  <c r="AQ182" i="1" s="1"/>
  <c r="AV195" i="1"/>
  <c r="AQ195" i="1"/>
  <c r="AV153" i="1"/>
  <c r="AQ153" i="1"/>
  <c r="AV19" i="1"/>
  <c r="AQ19" i="1" s="1"/>
  <c r="AV132" i="1"/>
  <c r="AQ132" i="1" s="1"/>
  <c r="AV63" i="1"/>
  <c r="AQ63" i="1"/>
  <c r="AV231" i="1"/>
  <c r="AQ231" i="1" s="1"/>
  <c r="AV36" i="1"/>
  <c r="AV218" i="1"/>
  <c r="AQ218" i="1"/>
  <c r="AV154" i="1"/>
  <c r="AQ154" i="1"/>
  <c r="AV116" i="1"/>
  <c r="AQ116" i="1" s="1"/>
  <c r="AV130" i="1"/>
  <c r="AQ130" i="1" s="1"/>
  <c r="AV32" i="1"/>
  <c r="AQ32" i="1" s="1"/>
  <c r="AV105" i="1"/>
  <c r="AQ105" i="1" s="1"/>
  <c r="AV14" i="1"/>
  <c r="AQ14" i="1" s="1"/>
  <c r="AV233" i="1"/>
  <c r="AQ233" i="1"/>
  <c r="AV69" i="1"/>
  <c r="AQ69" i="1"/>
  <c r="AV13" i="1"/>
  <c r="AQ13" i="1" s="1"/>
  <c r="AV78" i="1"/>
  <c r="AQ78" i="1"/>
  <c r="AV75" i="1"/>
  <c r="AQ75" i="1" s="1"/>
  <c r="AV62" i="1"/>
  <c r="AQ62" i="1" s="1"/>
  <c r="AV174" i="1"/>
  <c r="AQ174" i="1" s="1"/>
  <c r="AV106" i="1"/>
  <c r="AQ106" i="1"/>
  <c r="AV161" i="1"/>
  <c r="AQ161" i="1" s="1"/>
  <c r="AV134" i="1"/>
  <c r="AQ134" i="1"/>
  <c r="AV42" i="1"/>
  <c r="AQ42" i="1" s="1"/>
  <c r="AV228" i="1"/>
  <c r="AQ228" i="1" s="1"/>
  <c r="AV18" i="1"/>
  <c r="AQ18" i="1" s="1"/>
  <c r="AV20" i="1"/>
  <c r="AQ20" i="1"/>
  <c r="AV146" i="1"/>
  <c r="AQ146" i="1"/>
  <c r="AV50" i="1"/>
  <c r="AQ50" i="1"/>
  <c r="AV232" i="1"/>
  <c r="AQ232" i="1"/>
  <c r="AQ219" i="1"/>
  <c r="AQ144" i="1"/>
  <c r="AV215" i="1"/>
  <c r="AQ215" i="1" s="1"/>
  <c r="AV37" i="1"/>
  <c r="AV102" i="1"/>
  <c r="AQ102" i="1" s="1"/>
  <c r="AT181" i="1"/>
  <c r="AQ181" i="1"/>
  <c r="AV34" i="1"/>
  <c r="AQ34" i="1" s="1"/>
  <c r="AV160" i="1"/>
  <c r="AQ160" i="1"/>
  <c r="AV133" i="1"/>
  <c r="AQ133" i="1" s="1"/>
  <c r="AV51" i="1"/>
  <c r="AQ51" i="1"/>
  <c r="AV158" i="1"/>
  <c r="AQ158" i="1" s="1"/>
  <c r="AV200" i="1"/>
  <c r="AQ200" i="1" s="1"/>
  <c r="AV189" i="1"/>
  <c r="AQ189" i="1" s="1"/>
  <c r="AV176" i="1"/>
  <c r="AQ176" i="1"/>
  <c r="AV115" i="1"/>
  <c r="AQ115" i="1" s="1"/>
  <c r="AV172" i="1"/>
  <c r="AQ172" i="1" s="1"/>
  <c r="AV91" i="1"/>
  <c r="AQ91" i="1"/>
  <c r="AV196" i="1"/>
  <c r="AV61" i="1"/>
  <c r="AQ61" i="1" s="1"/>
  <c r="AV31" i="1"/>
  <c r="AQ31" i="1" s="1"/>
  <c r="AV92" i="1"/>
  <c r="AQ92" i="1"/>
  <c r="AQ79" i="1"/>
  <c r="AV104" i="1"/>
  <c r="AQ104" i="1"/>
  <c r="AV89" i="1"/>
  <c r="AQ89" i="1" s="1"/>
  <c r="AV93" i="1"/>
  <c r="AQ93" i="1" s="1"/>
  <c r="AV74" i="1"/>
  <c r="AQ74" i="1" s="1"/>
  <c r="AV97" i="1"/>
  <c r="AV46" i="1"/>
  <c r="AQ46" i="1" s="1"/>
  <c r="AV76" i="1"/>
  <c r="AQ76" i="1"/>
  <c r="AV188" i="1"/>
  <c r="AQ188" i="1"/>
  <c r="AQ175" i="1"/>
  <c r="AV175" i="1"/>
  <c r="AV162" i="1"/>
  <c r="AQ162" i="1"/>
  <c r="AV56" i="1"/>
  <c r="AV214" i="1"/>
</calcChain>
</file>

<file path=xl/sharedStrings.xml><?xml version="1.0" encoding="utf-8"?>
<sst xmlns="http://schemas.openxmlformats.org/spreadsheetml/2006/main" count="1322" uniqueCount="228">
  <si>
    <t>Codigo</t>
  </si>
  <si>
    <t>Nombre</t>
  </si>
  <si>
    <t>Doc.Id.</t>
  </si>
  <si>
    <t>00001</t>
  </si>
  <si>
    <t>CACERES CORDOVA, ROCIO SANDRA</t>
  </si>
  <si>
    <t>48429690</t>
  </si>
  <si>
    <t/>
  </si>
  <si>
    <t xml:space="preserve"> 1:23</t>
  </si>
  <si>
    <t>00003</t>
  </si>
  <si>
    <t>LLANOS YAURI, LOURDES LUCIA</t>
  </si>
  <si>
    <t>10602846</t>
  </si>
  <si>
    <t>00004</t>
  </si>
  <si>
    <t>TICLLA RAMOS, MARIELLA</t>
  </si>
  <si>
    <t>72262268</t>
  </si>
  <si>
    <t>00006</t>
  </si>
  <si>
    <t>PARIONA ROSAS, RICHARD</t>
  </si>
  <si>
    <t>71001774</t>
  </si>
  <si>
    <t>00008</t>
  </si>
  <si>
    <t>LLANOS ANTAURCO, STEPHEN BORIS</t>
  </si>
  <si>
    <t>46183969</t>
  </si>
  <si>
    <t>00010</t>
  </si>
  <si>
    <t>CCAMA ARONI, LUZ MIRELLA</t>
  </si>
  <si>
    <t>76575233</t>
  </si>
  <si>
    <t>00013</t>
  </si>
  <si>
    <t>CAYCHO HUANCA, ANDREA ALESSANDRA</t>
  </si>
  <si>
    <t>76227067</t>
  </si>
  <si>
    <t>00021</t>
  </si>
  <si>
    <t>PRETELL PINTADO, ANGELICA DIANA</t>
  </si>
  <si>
    <t>72648191</t>
  </si>
  <si>
    <t>00023</t>
  </si>
  <si>
    <t>LOPEZ FARIAS, CARLOS JOAQUIN</t>
  </si>
  <si>
    <t>73619936</t>
  </si>
  <si>
    <t>00025</t>
  </si>
  <si>
    <t>CRUZ TAIPE, RONY WALDIR</t>
  </si>
  <si>
    <t>76848378</t>
  </si>
  <si>
    <t xml:space="preserve"> 8:33</t>
  </si>
  <si>
    <t>00026</t>
  </si>
  <si>
    <t>ANDRADE MERA, MARQUIÑO ANTONY</t>
  </si>
  <si>
    <t>74768155</t>
  </si>
  <si>
    <t>00034</t>
  </si>
  <si>
    <t>MEJIA TORRES, FRANCISCO JAVIER</t>
  </si>
  <si>
    <t>72350882</t>
  </si>
  <si>
    <t>00035</t>
  </si>
  <si>
    <t>GUEVARA CABELLO, CARLOS JEANPIERRE</t>
  </si>
  <si>
    <t>74026944</t>
  </si>
  <si>
    <t xml:space="preserve"> 2:08</t>
  </si>
  <si>
    <t xml:space="preserve"> 1:22</t>
  </si>
  <si>
    <t xml:space="preserve"> 1:25</t>
  </si>
  <si>
    <t xml:space="preserve"> 1:27</t>
  </si>
  <si>
    <t>F</t>
  </si>
  <si>
    <t xml:space="preserve"> 1:20</t>
  </si>
  <si>
    <t xml:space="preserve"> 1:02</t>
  </si>
  <si>
    <t xml:space="preserve"> 1:08</t>
  </si>
  <si>
    <t xml:space="preserve"> 1:09</t>
  </si>
  <si>
    <t>00036</t>
  </si>
  <si>
    <t>AMES ESPINOZA, KIMBERLLY</t>
  </si>
  <si>
    <t>75149675</t>
  </si>
  <si>
    <t xml:space="preserve"> 1:03</t>
  </si>
  <si>
    <t>00037</t>
  </si>
  <si>
    <t>ALVARADO ECHAIZ, LILIANA</t>
  </si>
  <si>
    <t>15739413</t>
  </si>
  <si>
    <t>00040</t>
  </si>
  <si>
    <t>MERMA CHILA, MANUEL ENRIQUE</t>
  </si>
  <si>
    <t>75925906</t>
  </si>
  <si>
    <t>00041</t>
  </si>
  <si>
    <t>SANCHEZ PANAIFO, GRECIA DANNAE</t>
  </si>
  <si>
    <t>48420673</t>
  </si>
  <si>
    <t xml:space="preserve"> 1:12</t>
  </si>
  <si>
    <t>00042</t>
  </si>
  <si>
    <t>CHAVEZ GUILLEN, DIANA CAROLINA</t>
  </si>
  <si>
    <t>71007128</t>
  </si>
  <si>
    <t xml:space="preserve"> 2:42</t>
  </si>
  <si>
    <t>00043</t>
  </si>
  <si>
    <t>URDAY CHOQUE, JONATHAN EDGARD</t>
  </si>
  <si>
    <t>71432329</t>
  </si>
  <si>
    <t xml:space="preserve"> 1:58</t>
  </si>
  <si>
    <t>00045</t>
  </si>
  <si>
    <t>ALARCON MONTALVAN, YAEL ASHLEY</t>
  </si>
  <si>
    <t>73354131</t>
  </si>
  <si>
    <t xml:space="preserve"> 1:35</t>
  </si>
  <si>
    <t xml:space="preserve"> 3:01</t>
  </si>
  <si>
    <t>00046</t>
  </si>
  <si>
    <t>CORDOVA ZEVALLOS, JORGE ENRIQUE</t>
  </si>
  <si>
    <t>74043790</t>
  </si>
  <si>
    <t>00047</t>
  </si>
  <si>
    <t>PARIAPAZA DE LA CRUZ, OSCAR ANTONIO</t>
  </si>
  <si>
    <t>72691267</t>
  </si>
  <si>
    <t>00048</t>
  </si>
  <si>
    <t>LUJAN VILCAÑAUPA, ALEXANDER MATIAS</t>
  </si>
  <si>
    <t>75367942</t>
  </si>
  <si>
    <t>00049</t>
  </si>
  <si>
    <t>LAURA APAZA, LEONEL ALEX</t>
  </si>
  <si>
    <t>76926006</t>
  </si>
  <si>
    <t>00050</t>
  </si>
  <si>
    <t>LAURA VICENTE, DARWIN FERNANDO</t>
  </si>
  <si>
    <t>72167014</t>
  </si>
  <si>
    <t>00051</t>
  </si>
  <si>
    <t>HANCCO RIOS, IMANOL HARVI</t>
  </si>
  <si>
    <t>75914879</t>
  </si>
  <si>
    <t>00052</t>
  </si>
  <si>
    <t>BORDA BURGOS, STEFANO PAOLO</t>
  </si>
  <si>
    <t>72185457</t>
  </si>
  <si>
    <t>MES</t>
  </si>
  <si>
    <t xml:space="preserve"> 1:04</t>
  </si>
  <si>
    <t xml:space="preserve"> 1:00</t>
  </si>
  <si>
    <t xml:space="preserve"> 1:07</t>
  </si>
  <si>
    <t>00014</t>
  </si>
  <si>
    <t>PAREDES GUILLEN, ROCIO NOEMI</t>
  </si>
  <si>
    <t>09930677</t>
  </si>
  <si>
    <t xml:space="preserve"> 1:52</t>
  </si>
  <si>
    <t xml:space="preserve"> 1:30</t>
  </si>
  <si>
    <t xml:space="preserve"> 1:13</t>
  </si>
  <si>
    <t xml:space="preserve"> 1:17</t>
  </si>
  <si>
    <t xml:space="preserve"> 1:14</t>
  </si>
  <si>
    <t xml:space="preserve"> 1:31</t>
  </si>
  <si>
    <t xml:space="preserve"> 1:15</t>
  </si>
  <si>
    <t xml:space="preserve"> 1:01</t>
  </si>
  <si>
    <t xml:space="preserve"> 2:06</t>
  </si>
  <si>
    <t xml:space="preserve"> 2:58</t>
  </si>
  <si>
    <t xml:space="preserve"> 4:57</t>
  </si>
  <si>
    <t xml:space="preserve"> 2:10</t>
  </si>
  <si>
    <t>00044</t>
  </si>
  <si>
    <t>PEREZ VERA, MARLENE BETTY</t>
  </si>
  <si>
    <t>72092638</t>
  </si>
  <si>
    <t xml:space="preserve"> 4:02</t>
  </si>
  <si>
    <t xml:space="preserve"> 1:16</t>
  </si>
  <si>
    <t xml:space="preserve"> 1:18</t>
  </si>
  <si>
    <t xml:space="preserve"> 1:21</t>
  </si>
  <si>
    <t xml:space="preserve"> 1:10</t>
  </si>
  <si>
    <t xml:space="preserve"> 3:12</t>
  </si>
  <si>
    <t>00024</t>
  </si>
  <si>
    <t>LOPEZ CRUZ, JEFFERSON NORMAN</t>
  </si>
  <si>
    <t>72754919</t>
  </si>
  <si>
    <t xml:space="preserve"> 3:40</t>
  </si>
  <si>
    <t>00028</t>
  </si>
  <si>
    <t>CLAROS NIETO, LITTA DANERY</t>
  </si>
  <si>
    <t>47329796</t>
  </si>
  <si>
    <t xml:space="preserve"> 4:20</t>
  </si>
  <si>
    <t xml:space="preserve"> 1:46</t>
  </si>
  <si>
    <t xml:space="preserve"> 1:11</t>
  </si>
  <si>
    <t xml:space="preserve"> 3:09</t>
  </si>
  <si>
    <t xml:space="preserve"> 3:50</t>
  </si>
  <si>
    <t xml:space="preserve"> 3:32</t>
  </si>
  <si>
    <t xml:space="preserve"> 1:39</t>
  </si>
  <si>
    <t>00007</t>
  </si>
  <si>
    <t>GALINDO MERA, YAHAIRA LUZMILA</t>
  </si>
  <si>
    <t>70655433</t>
  </si>
  <si>
    <t xml:space="preserve"> 5:03</t>
  </si>
  <si>
    <t>00016</t>
  </si>
  <si>
    <t>GUEVARA ENRIQUEZ, ROGELIO</t>
  </si>
  <si>
    <t>70237404</t>
  </si>
  <si>
    <t>00017</t>
  </si>
  <si>
    <t>ASIAN RAMIREZ, SILVIA LARITZA</t>
  </si>
  <si>
    <t>70098369</t>
  </si>
  <si>
    <t>00022</t>
  </si>
  <si>
    <t>TENORIO FELIX, SAMANTHA NICOLLE</t>
  </si>
  <si>
    <t>72925189</t>
  </si>
  <si>
    <t xml:space="preserve"> 2:47</t>
  </si>
  <si>
    <t xml:space="preserve"> 5:11</t>
  </si>
  <si>
    <t xml:space="preserve"> 4:43</t>
  </si>
  <si>
    <t>00027</t>
  </si>
  <si>
    <t>FELIX GARCIA, JEAN PIERRE</t>
  </si>
  <si>
    <t>73453354</t>
  </si>
  <si>
    <t>00029</t>
  </si>
  <si>
    <t>CCARI ASILLO, JHON MILTHON</t>
  </si>
  <si>
    <t>77822746</t>
  </si>
  <si>
    <t>00038</t>
  </si>
  <si>
    <t>MAYTA HUANCA, LUZ GABY</t>
  </si>
  <si>
    <t>73655629</t>
  </si>
  <si>
    <t>00039</t>
  </si>
  <si>
    <t>ALVAREZ MINAYA, BRIGHITTE SONIA</t>
  </si>
  <si>
    <t>74071396</t>
  </si>
  <si>
    <t xml:space="preserve"> 5:04</t>
  </si>
  <si>
    <t xml:space="preserve"> 4:07</t>
  </si>
  <si>
    <t xml:space="preserve"> 5:06</t>
  </si>
  <si>
    <t xml:space="preserve"> 1:47</t>
  </si>
  <si>
    <t>00031</t>
  </si>
  <si>
    <t>ZARATE SALAZAR, JOE</t>
  </si>
  <si>
    <t>10157300</t>
  </si>
  <si>
    <t xml:space="preserve"> 3:14</t>
  </si>
  <si>
    <t xml:space="preserve"> 4:38</t>
  </si>
  <si>
    <t xml:space="preserve"> 3:03</t>
  </si>
  <si>
    <t xml:space="preserve"> 2:19</t>
  </si>
  <si>
    <t xml:space="preserve"> 3:45</t>
  </si>
  <si>
    <t xml:space="preserve"> 1:26</t>
  </si>
  <si>
    <t xml:space="preserve"> 1:59</t>
  </si>
  <si>
    <t xml:space="preserve"> 1:19</t>
  </si>
  <si>
    <t xml:space="preserve"> 2:55</t>
  </si>
  <si>
    <t xml:space="preserve"> 1:28</t>
  </si>
  <si>
    <t xml:space="preserve"> 1:43</t>
  </si>
  <si>
    <t>DIAS MES</t>
  </si>
  <si>
    <t>TOLERANCIA</t>
  </si>
  <si>
    <t>Tard. &gt; 00:10</t>
  </si>
  <si>
    <t>%</t>
  </si>
  <si>
    <t>FALTAS</t>
  </si>
  <si>
    <t xml:space="preserve"> 1:49</t>
  </si>
  <si>
    <t xml:space="preserve"> 1:56</t>
  </si>
  <si>
    <t xml:space="preserve"> 4:30</t>
  </si>
  <si>
    <t>Etiquetas de fila</t>
  </si>
  <si>
    <t>Total general</t>
  </si>
  <si>
    <t>Suma de Tard. &gt; 00:10</t>
  </si>
  <si>
    <t>CESADO</t>
  </si>
  <si>
    <t>ESTATUS</t>
  </si>
  <si>
    <t>ACTIVO</t>
  </si>
  <si>
    <t>Mes</t>
  </si>
  <si>
    <t>NOM ABREV</t>
  </si>
  <si>
    <t>ALEXANDER LUJAN</t>
  </si>
  <si>
    <t>CARLOS GUEVARA</t>
  </si>
  <si>
    <t>CARLOS LOPEZ</t>
  </si>
  <si>
    <t>DARWIN LAURA</t>
  </si>
  <si>
    <t>FRANCISCO MEJIA</t>
  </si>
  <si>
    <t>GRECIA SANCHEZ</t>
  </si>
  <si>
    <t>IMANOL HANCCO</t>
  </si>
  <si>
    <t>JONATHAN URDAY</t>
  </si>
  <si>
    <t>JORGE CORDOVA</t>
  </si>
  <si>
    <t>KIMBERLLY AMES</t>
  </si>
  <si>
    <t>LEONEL LAURA</t>
  </si>
  <si>
    <t>LILIANA ALVARADO</t>
  </si>
  <si>
    <t>LOURDES LLANOS</t>
  </si>
  <si>
    <t>LUZ CCAMA</t>
  </si>
  <si>
    <t>MANUEL MERMA</t>
  </si>
  <si>
    <t>MARIELLA TICLLA</t>
  </si>
  <si>
    <t>OSCAR PARIAPAZA</t>
  </si>
  <si>
    <t>RICHARD PARIONA</t>
  </si>
  <si>
    <t>ROCIO CACERES</t>
  </si>
  <si>
    <t>RONY CRUZ</t>
  </si>
  <si>
    <t>STEFANO BORDA</t>
  </si>
  <si>
    <t>STEPHEN LLANOS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</si>
</sst>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name val="Arial"/>
    </font>
    <font>
      <b/>
      <u/>
      <sz val="8"/>
      <name val="Arial"/>
      <family val="2"/>
    </font>
    <font>
      <sz val="8"/>
      <color theme="1"/>
      <name val="Aptos Narrow"/>
      <family val="2"/>
      <scheme val="minor"/>
    </font>
    <font>
      <sz val="8"/>
      <name val="Arial"/>
      <family val="2"/>
    </font>
    <font>
      <b/>
      <u/>
      <sz val="8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4" fillId="0" borderId="0" xfId="1" applyNumberFormat="1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20" fontId="4" fillId="0" borderId="0" xfId="0" applyNumberFormat="1" applyFont="1" applyAlignment="1" applyProtection="1">
      <alignment horizontal="left"/>
      <protection locked="0"/>
    </xf>
    <xf numFmtId="20" fontId="4" fillId="0" borderId="0" xfId="1" applyNumberFormat="1" applyFont="1" applyAlignment="1" applyProtection="1">
      <alignment horizontal="left"/>
      <protection locked="0"/>
    </xf>
    <xf numFmtId="20" fontId="3" fillId="0" borderId="0" xfId="0" applyNumberFormat="1" applyFont="1"/>
    <xf numFmtId="0" fontId="2" fillId="0" borderId="0" xfId="1" applyNumberFormat="1" applyFont="1" applyAlignment="1" applyProtection="1">
      <alignment horizontal="center"/>
      <protection locked="0"/>
    </xf>
    <xf numFmtId="0" fontId="2" fillId="0" borderId="0" xfId="1" applyNumberFormat="1" applyFont="1" applyFill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20" fontId="4" fillId="0" borderId="0" xfId="2" applyNumberFormat="1" applyFont="1"/>
    <xf numFmtId="0" fontId="2" fillId="0" borderId="0" xfId="2" applyFont="1" applyAlignment="1">
      <alignment horizontal="center"/>
    </xf>
    <xf numFmtId="0" fontId="7" fillId="0" borderId="0" xfId="2" applyFont="1" applyAlignment="1">
      <alignment horizontal="center" vertical="center"/>
    </xf>
    <xf numFmtId="9" fontId="8" fillId="0" borderId="0" xfId="3" applyFont="1"/>
    <xf numFmtId="1" fontId="8" fillId="0" borderId="0" xfId="2" applyNumberFormat="1" applyFont="1"/>
    <xf numFmtId="0" fontId="4" fillId="0" borderId="0" xfId="2" applyFont="1" applyAlignment="1" applyProtection="1">
      <alignment horizontal="left"/>
      <protection locked="0"/>
    </xf>
    <xf numFmtId="20" fontId="4" fillId="0" borderId="0" xfId="2" applyNumberFormat="1" applyFont="1" applyAlignment="1" applyProtection="1">
      <alignment horizontal="left"/>
      <protection locked="0"/>
    </xf>
    <xf numFmtId="2" fontId="4" fillId="0" borderId="0" xfId="2" applyNumberFormat="1" applyFont="1"/>
    <xf numFmtId="1" fontId="4" fillId="0" borderId="0" xfId="2" applyNumberFormat="1" applyFont="1"/>
    <xf numFmtId="0" fontId="8" fillId="0" borderId="0" xfId="2" applyFont="1" applyAlignment="1" applyProtection="1">
      <alignment horizontal="left"/>
      <protection locked="0"/>
    </xf>
    <xf numFmtId="20" fontId="8" fillId="0" borderId="0" xfId="2" applyNumberFormat="1" applyFont="1" applyAlignment="1" applyProtection="1">
      <alignment horizontal="left"/>
      <protection locked="0"/>
    </xf>
    <xf numFmtId="9" fontId="8" fillId="0" borderId="0" xfId="3" applyFont="1"/>
    <xf numFmtId="1" fontId="8" fillId="0" borderId="0" xfId="2" applyNumberFormat="1" applyFont="1"/>
    <xf numFmtId="20" fontId="4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Normal" xfId="0" builtinId="0"/>
    <cellStyle name="Normal 2" xfId="1" xr:uid="{DEEEBB22-7FED-40A1-B93D-F4D78FD13788}"/>
    <cellStyle name="Normal 3" xfId="2" xr:uid="{6688FB54-C8BF-4B5F-AC30-A2A1039705E4}"/>
    <cellStyle name="Porcentaje 2" xfId="3" xr:uid="{DAD0B5A0-7A27-4EF3-B16E-B0367BC77C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Control de Tardanzas(1).xlsx]Hoja2!TablaDinámica1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Hoja2!$B$3:$B$4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Hoja2!$A$5:$A$27</c:f>
              <c:strCache>
                <c:ptCount val="22"/>
                <c:pt idx="0">
                  <c:v>LUZ CCAMA</c:v>
                </c:pt>
                <c:pt idx="1">
                  <c:v>MARIELLA TICLLA</c:v>
                </c:pt>
                <c:pt idx="2">
                  <c:v>ROCIO CACERES</c:v>
                </c:pt>
                <c:pt idx="3">
                  <c:v>KIMBERLLY AMES</c:v>
                </c:pt>
                <c:pt idx="4">
                  <c:v>LILIANA ALVARADO</c:v>
                </c:pt>
                <c:pt idx="5">
                  <c:v>LOURDES LLANOS</c:v>
                </c:pt>
                <c:pt idx="6">
                  <c:v>RICHARD PARIONA</c:v>
                </c:pt>
                <c:pt idx="7">
                  <c:v>IMANOL HANCCO</c:v>
                </c:pt>
                <c:pt idx="8">
                  <c:v>GRECIA SANCHEZ</c:v>
                </c:pt>
                <c:pt idx="9">
                  <c:v>OSCAR PARIAPAZA</c:v>
                </c:pt>
                <c:pt idx="10">
                  <c:v>CARLOS LOPEZ</c:v>
                </c:pt>
                <c:pt idx="11">
                  <c:v>STEPHEN LLANOS</c:v>
                </c:pt>
                <c:pt idx="12">
                  <c:v>JORGE CORDOVA</c:v>
                </c:pt>
                <c:pt idx="13">
                  <c:v>LEONEL LAURA</c:v>
                </c:pt>
                <c:pt idx="14">
                  <c:v>STEFANO BORDA</c:v>
                </c:pt>
                <c:pt idx="15">
                  <c:v>RONY CRUZ</c:v>
                </c:pt>
                <c:pt idx="16">
                  <c:v>MANUEL MERMA</c:v>
                </c:pt>
                <c:pt idx="17">
                  <c:v>CARLOS GUEVARA</c:v>
                </c:pt>
                <c:pt idx="18">
                  <c:v>ALEXANDER LUJAN</c:v>
                </c:pt>
                <c:pt idx="19">
                  <c:v>FRANCISCO MEJIA</c:v>
                </c:pt>
                <c:pt idx="20">
                  <c:v>DARWIN LAURA</c:v>
                </c:pt>
                <c:pt idx="21">
                  <c:v>JONATHAN URDAY</c:v>
                </c:pt>
              </c:strCache>
            </c:strRef>
          </c:cat>
          <c:val>
            <c:numRef>
              <c:f>Hoja2!$B$5:$B$27</c:f>
              <c:numCache>
                <c:formatCode>General</c:formatCode>
                <c:ptCount val="22"/>
                <c:pt idx="0">
                  <c:v>15</c:v>
                </c:pt>
                <c:pt idx="1">
                  <c:v>19</c:v>
                </c:pt>
                <c:pt idx="2">
                  <c:v>15</c:v>
                </c:pt>
                <c:pt idx="3">
                  <c:v>15</c:v>
                </c:pt>
                <c:pt idx="4">
                  <c:v>19</c:v>
                </c:pt>
                <c:pt idx="5">
                  <c:v>10</c:v>
                </c:pt>
                <c:pt idx="6">
                  <c:v>14</c:v>
                </c:pt>
                <c:pt idx="7">
                  <c:v>4</c:v>
                </c:pt>
                <c:pt idx="8">
                  <c:v>10</c:v>
                </c:pt>
                <c:pt idx="9">
                  <c:v>6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  <c:pt idx="13">
                  <c:v>1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9-4E00-A8F9-9B22BA89F9D4}"/>
            </c:ext>
          </c:extLst>
        </c:ser>
        <c:ser>
          <c:idx val="1"/>
          <c:order val="1"/>
          <c:tx>
            <c:strRef>
              <c:f>Hoja2!$C$3:$C$4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Hoja2!$A$5:$A$27</c:f>
              <c:strCache>
                <c:ptCount val="22"/>
                <c:pt idx="0">
                  <c:v>LUZ CCAMA</c:v>
                </c:pt>
                <c:pt idx="1">
                  <c:v>MARIELLA TICLLA</c:v>
                </c:pt>
                <c:pt idx="2">
                  <c:v>ROCIO CACERES</c:v>
                </c:pt>
                <c:pt idx="3">
                  <c:v>KIMBERLLY AMES</c:v>
                </c:pt>
                <c:pt idx="4">
                  <c:v>LILIANA ALVARADO</c:v>
                </c:pt>
                <c:pt idx="5">
                  <c:v>LOURDES LLANOS</c:v>
                </c:pt>
                <c:pt idx="6">
                  <c:v>RICHARD PARIONA</c:v>
                </c:pt>
                <c:pt idx="7">
                  <c:v>IMANOL HANCCO</c:v>
                </c:pt>
                <c:pt idx="8">
                  <c:v>GRECIA SANCHEZ</c:v>
                </c:pt>
                <c:pt idx="9">
                  <c:v>OSCAR PARIAPAZA</c:v>
                </c:pt>
                <c:pt idx="10">
                  <c:v>CARLOS LOPEZ</c:v>
                </c:pt>
                <c:pt idx="11">
                  <c:v>STEPHEN LLANOS</c:v>
                </c:pt>
                <c:pt idx="12">
                  <c:v>JORGE CORDOVA</c:v>
                </c:pt>
                <c:pt idx="13">
                  <c:v>LEONEL LAURA</c:v>
                </c:pt>
                <c:pt idx="14">
                  <c:v>STEFANO BORDA</c:v>
                </c:pt>
                <c:pt idx="15">
                  <c:v>RONY CRUZ</c:v>
                </c:pt>
                <c:pt idx="16">
                  <c:v>MANUEL MERMA</c:v>
                </c:pt>
                <c:pt idx="17">
                  <c:v>CARLOS GUEVARA</c:v>
                </c:pt>
                <c:pt idx="18">
                  <c:v>ALEXANDER LUJAN</c:v>
                </c:pt>
                <c:pt idx="19">
                  <c:v>FRANCISCO MEJIA</c:v>
                </c:pt>
                <c:pt idx="20">
                  <c:v>DARWIN LAURA</c:v>
                </c:pt>
                <c:pt idx="21">
                  <c:v>JONATHAN URDAY</c:v>
                </c:pt>
              </c:strCache>
            </c:strRef>
          </c:cat>
          <c:val>
            <c:numRef>
              <c:f>Hoja2!$C$5:$C$27</c:f>
              <c:numCache>
                <c:formatCode>General</c:formatCode>
                <c:ptCount val="22"/>
                <c:pt idx="0">
                  <c:v>22</c:v>
                </c:pt>
                <c:pt idx="1">
                  <c:v>21</c:v>
                </c:pt>
                <c:pt idx="2">
                  <c:v>22</c:v>
                </c:pt>
                <c:pt idx="3">
                  <c:v>12</c:v>
                </c:pt>
                <c:pt idx="4">
                  <c:v>25</c:v>
                </c:pt>
                <c:pt idx="5">
                  <c:v>17</c:v>
                </c:pt>
                <c:pt idx="6">
                  <c:v>24</c:v>
                </c:pt>
                <c:pt idx="7">
                  <c:v>9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11</c:v>
                </c:pt>
                <c:pt idx="12">
                  <c:v>10</c:v>
                </c:pt>
                <c:pt idx="13">
                  <c:v>15</c:v>
                </c:pt>
                <c:pt idx="14">
                  <c:v>6</c:v>
                </c:pt>
                <c:pt idx="15">
                  <c:v>11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0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49-4E00-A8F9-9B22BA89F9D4}"/>
            </c:ext>
          </c:extLst>
        </c:ser>
        <c:ser>
          <c:idx val="2"/>
          <c:order val="2"/>
          <c:tx>
            <c:strRef>
              <c:f>Hoja2!$D$3:$D$4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Hoja2!$A$5:$A$27</c:f>
              <c:strCache>
                <c:ptCount val="22"/>
                <c:pt idx="0">
                  <c:v>LUZ CCAMA</c:v>
                </c:pt>
                <c:pt idx="1">
                  <c:v>MARIELLA TICLLA</c:v>
                </c:pt>
                <c:pt idx="2">
                  <c:v>ROCIO CACERES</c:v>
                </c:pt>
                <c:pt idx="3">
                  <c:v>KIMBERLLY AMES</c:v>
                </c:pt>
                <c:pt idx="4">
                  <c:v>LILIANA ALVARADO</c:v>
                </c:pt>
                <c:pt idx="5">
                  <c:v>LOURDES LLANOS</c:v>
                </c:pt>
                <c:pt idx="6">
                  <c:v>RICHARD PARIONA</c:v>
                </c:pt>
                <c:pt idx="7">
                  <c:v>IMANOL HANCCO</c:v>
                </c:pt>
                <c:pt idx="8">
                  <c:v>GRECIA SANCHEZ</c:v>
                </c:pt>
                <c:pt idx="9">
                  <c:v>OSCAR PARIAPAZA</c:v>
                </c:pt>
                <c:pt idx="10">
                  <c:v>CARLOS LOPEZ</c:v>
                </c:pt>
                <c:pt idx="11">
                  <c:v>STEPHEN LLANOS</c:v>
                </c:pt>
                <c:pt idx="12">
                  <c:v>JORGE CORDOVA</c:v>
                </c:pt>
                <c:pt idx="13">
                  <c:v>LEONEL LAURA</c:v>
                </c:pt>
                <c:pt idx="14">
                  <c:v>STEFANO BORDA</c:v>
                </c:pt>
                <c:pt idx="15">
                  <c:v>RONY CRUZ</c:v>
                </c:pt>
                <c:pt idx="16">
                  <c:v>MANUEL MERMA</c:v>
                </c:pt>
                <c:pt idx="17">
                  <c:v>CARLOS GUEVARA</c:v>
                </c:pt>
                <c:pt idx="18">
                  <c:v>ALEXANDER LUJAN</c:v>
                </c:pt>
                <c:pt idx="19">
                  <c:v>FRANCISCO MEJIA</c:v>
                </c:pt>
                <c:pt idx="20">
                  <c:v>DARWIN LAURA</c:v>
                </c:pt>
                <c:pt idx="21">
                  <c:v>JONATHAN URDAY</c:v>
                </c:pt>
              </c:strCache>
            </c:strRef>
          </c:cat>
          <c:val>
            <c:numRef>
              <c:f>Hoja2!$D$5:$D$27</c:f>
              <c:numCache>
                <c:formatCode>General</c:formatCode>
                <c:ptCount val="22"/>
                <c:pt idx="0">
                  <c:v>18</c:v>
                </c:pt>
                <c:pt idx="1">
                  <c:v>13</c:v>
                </c:pt>
                <c:pt idx="2">
                  <c:v>14</c:v>
                </c:pt>
                <c:pt idx="3">
                  <c:v>13</c:v>
                </c:pt>
                <c:pt idx="4">
                  <c:v>4</c:v>
                </c:pt>
                <c:pt idx="5">
                  <c:v>11</c:v>
                </c:pt>
                <c:pt idx="6">
                  <c:v>9</c:v>
                </c:pt>
                <c:pt idx="7">
                  <c:v>10</c:v>
                </c:pt>
                <c:pt idx="8">
                  <c:v>4</c:v>
                </c:pt>
                <c:pt idx="9">
                  <c:v>0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9</c:v>
                </c:pt>
                <c:pt idx="15">
                  <c:v>2</c:v>
                </c:pt>
                <c:pt idx="16">
                  <c:v>5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49-4E00-A8F9-9B22BA89F9D4}"/>
            </c:ext>
          </c:extLst>
        </c:ser>
        <c:ser>
          <c:idx val="3"/>
          <c:order val="3"/>
          <c:tx>
            <c:strRef>
              <c:f>Hoja2!$E$3:$E$4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Hoja2!$A$5:$A$27</c:f>
              <c:strCache>
                <c:ptCount val="22"/>
                <c:pt idx="0">
                  <c:v>LUZ CCAMA</c:v>
                </c:pt>
                <c:pt idx="1">
                  <c:v>MARIELLA TICLLA</c:v>
                </c:pt>
                <c:pt idx="2">
                  <c:v>ROCIO CACERES</c:v>
                </c:pt>
                <c:pt idx="3">
                  <c:v>KIMBERLLY AMES</c:v>
                </c:pt>
                <c:pt idx="4">
                  <c:v>LILIANA ALVARADO</c:v>
                </c:pt>
                <c:pt idx="5">
                  <c:v>LOURDES LLANOS</c:v>
                </c:pt>
                <c:pt idx="6">
                  <c:v>RICHARD PARIONA</c:v>
                </c:pt>
                <c:pt idx="7">
                  <c:v>IMANOL HANCCO</c:v>
                </c:pt>
                <c:pt idx="8">
                  <c:v>GRECIA SANCHEZ</c:v>
                </c:pt>
                <c:pt idx="9">
                  <c:v>OSCAR PARIAPAZA</c:v>
                </c:pt>
                <c:pt idx="10">
                  <c:v>CARLOS LOPEZ</c:v>
                </c:pt>
                <c:pt idx="11">
                  <c:v>STEPHEN LLANOS</c:v>
                </c:pt>
                <c:pt idx="12">
                  <c:v>JORGE CORDOVA</c:v>
                </c:pt>
                <c:pt idx="13">
                  <c:v>LEONEL LAURA</c:v>
                </c:pt>
                <c:pt idx="14">
                  <c:v>STEFANO BORDA</c:v>
                </c:pt>
                <c:pt idx="15">
                  <c:v>RONY CRUZ</c:v>
                </c:pt>
                <c:pt idx="16">
                  <c:v>MANUEL MERMA</c:v>
                </c:pt>
                <c:pt idx="17">
                  <c:v>CARLOS GUEVARA</c:v>
                </c:pt>
                <c:pt idx="18">
                  <c:v>ALEXANDER LUJAN</c:v>
                </c:pt>
                <c:pt idx="19">
                  <c:v>FRANCISCO MEJIA</c:v>
                </c:pt>
                <c:pt idx="20">
                  <c:v>DARWIN LAURA</c:v>
                </c:pt>
                <c:pt idx="21">
                  <c:v>JONATHAN URDAY</c:v>
                </c:pt>
              </c:strCache>
            </c:strRef>
          </c:cat>
          <c:val>
            <c:numRef>
              <c:f>Hoja2!$E$5:$E$27</c:f>
              <c:numCache>
                <c:formatCode>General</c:formatCode>
                <c:ptCount val="22"/>
                <c:pt idx="0">
                  <c:v>13</c:v>
                </c:pt>
                <c:pt idx="1">
                  <c:v>7</c:v>
                </c:pt>
                <c:pt idx="2">
                  <c:v>9</c:v>
                </c:pt>
                <c:pt idx="3">
                  <c:v>19</c:v>
                </c:pt>
                <c:pt idx="4">
                  <c:v>11</c:v>
                </c:pt>
                <c:pt idx="5">
                  <c:v>16</c:v>
                </c:pt>
                <c:pt idx="6">
                  <c:v>4</c:v>
                </c:pt>
                <c:pt idx="7">
                  <c:v>8</c:v>
                </c:pt>
                <c:pt idx="8">
                  <c:v>0</c:v>
                </c:pt>
                <c:pt idx="9">
                  <c:v>10</c:v>
                </c:pt>
                <c:pt idx="10">
                  <c:v>8</c:v>
                </c:pt>
                <c:pt idx="11">
                  <c:v>3</c:v>
                </c:pt>
                <c:pt idx="12">
                  <c:v>7</c:v>
                </c:pt>
                <c:pt idx="13">
                  <c:v>5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49-4E00-A8F9-9B22BA89F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3684768"/>
        <c:axId val="1423684288"/>
      </c:barChart>
      <c:catAx>
        <c:axId val="1423684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PE"/>
          </a:p>
        </c:txPr>
        <c:crossAx val="1423684288"/>
        <c:crosses val="autoZero"/>
        <c:auto val="1"/>
        <c:lblAlgn val="ctr"/>
        <c:lblOffset val="100"/>
        <c:noMultiLvlLbl val="0"/>
      </c:catAx>
      <c:valAx>
        <c:axId val="142368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2368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0</xdr:row>
      <xdr:rowOff>41910</xdr:rowOff>
    </xdr:from>
    <xdr:to>
      <xdr:col>18</xdr:col>
      <xdr:colOff>891540</xdr:colOff>
      <xdr:row>29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172CEC-482A-F884-6408-5CEDD08E3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ab/AppData/Local/Microsoft/Windows/INetCache/IE/65PAUFKR/Control%20de%20Tardanzas%5b1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Roberto Barzola Mendoza" refreshedDate="45905.709793518516" createdVersion="8" refreshedVersion="8" minRefreshableVersion="3" recordCount="235" xr:uid="{E35DFAC9-A6AF-4F3C-BDF9-2A36D84DC118}">
  <cacheSource type="worksheet">
    <worksheetSource ref="A1:AQ1048576" sheet=".xlsx]Hoja1" r:id="rId2"/>
  </cacheSource>
  <cacheFields count="43">
    <cacheField name="Codigo" numFmtId="0">
      <sharedItems containsBlank="1"/>
    </cacheField>
    <cacheField name="Nombre" numFmtId="0">
      <sharedItems containsBlank="1"/>
    </cacheField>
    <cacheField name="Doc.Id." numFmtId="0">
      <sharedItems containsBlank="1"/>
    </cacheField>
    <cacheField name="1" numFmtId="0">
      <sharedItems containsDate="1" containsBlank="1" containsMixedTypes="1" minDate="1899-12-30T00:00:00" maxDate="1899-12-30T00:57:00"/>
    </cacheField>
    <cacheField name="2" numFmtId="0">
      <sharedItems containsDate="1" containsBlank="1" containsMixedTypes="1" minDate="1899-12-30T00:00:00" maxDate="1899-12-30T00:59:00"/>
    </cacheField>
    <cacheField name="3" numFmtId="0">
      <sharedItems containsDate="1" containsBlank="1" containsMixedTypes="1" minDate="1899-12-30T00:00:00" maxDate="1899-12-30T00:57:00"/>
    </cacheField>
    <cacheField name="4" numFmtId="0">
      <sharedItems containsDate="1" containsBlank="1" containsMixedTypes="1" minDate="1899-12-30T00:00:00" maxDate="1899-12-31T00:00:00"/>
    </cacheField>
    <cacheField name="5" numFmtId="0">
      <sharedItems containsDate="1" containsBlank="1" containsMixedTypes="1" minDate="1899-12-30T00:00:00" maxDate="1899-12-30T00:52:00"/>
    </cacheField>
    <cacheField name="6" numFmtId="0">
      <sharedItems containsDate="1" containsBlank="1" containsMixedTypes="1" minDate="1899-12-30T00:00:00" maxDate="1899-12-31T00:00:00"/>
    </cacheField>
    <cacheField name="7" numFmtId="0">
      <sharedItems containsDate="1" containsBlank="1" containsMixedTypes="1" minDate="1899-12-30T00:00:00" maxDate="1899-12-31T00:00:00"/>
    </cacheField>
    <cacheField name="8" numFmtId="0">
      <sharedItems containsDate="1" containsBlank="1" containsMixedTypes="1" minDate="1899-12-30T00:00:00" maxDate="1899-12-31T00:00:00"/>
    </cacheField>
    <cacheField name="9" numFmtId="0">
      <sharedItems containsDate="1" containsBlank="1" containsMixedTypes="1" minDate="1899-12-30T00:00:00" maxDate="1899-12-30T00:59:00"/>
    </cacheField>
    <cacheField name="10" numFmtId="0">
      <sharedItems containsDate="1" containsBlank="1" containsMixedTypes="1" minDate="1899-12-30T00:00:00" maxDate="1899-12-31T00:00:00"/>
    </cacheField>
    <cacheField name="11" numFmtId="0">
      <sharedItems containsDate="1" containsBlank="1" containsMixedTypes="1" minDate="1899-12-30T00:00:00" maxDate="1899-12-31T00:00:00"/>
    </cacheField>
    <cacheField name="12" numFmtId="0">
      <sharedItems containsDate="1" containsBlank="1" containsMixedTypes="1" minDate="1899-12-30T00:00:00" maxDate="1899-12-30T00:55:00"/>
    </cacheField>
    <cacheField name="13" numFmtId="0">
      <sharedItems containsDate="1" containsBlank="1" containsMixedTypes="1" minDate="1899-12-30T00:00:00" maxDate="1899-12-30T00:58:00"/>
    </cacheField>
    <cacheField name="14" numFmtId="0">
      <sharedItems containsDate="1" containsBlank="1" containsMixedTypes="1" minDate="1899-12-30T00:00:00" maxDate="1899-12-30T00:54:00"/>
    </cacheField>
    <cacheField name="15" numFmtId="0">
      <sharedItems containsDate="1" containsBlank="1" containsMixedTypes="1" minDate="1899-12-30T00:00:00" maxDate="1899-12-30T00:56:00"/>
    </cacheField>
    <cacheField name="16" numFmtId="0">
      <sharedItems containsDate="1" containsBlank="1" containsMixedTypes="1" minDate="1899-12-30T00:00:00" maxDate="1899-12-30T00:54:00"/>
    </cacheField>
    <cacheField name="17" numFmtId="0">
      <sharedItems containsDate="1" containsBlank="1" containsMixedTypes="1" minDate="1899-12-30T00:00:00" maxDate="1899-12-31T00:00:00"/>
    </cacheField>
    <cacheField name="18" numFmtId="0">
      <sharedItems containsDate="1" containsBlank="1" containsMixedTypes="1" minDate="1899-12-30T00:00:00" maxDate="1899-12-31T00:00:00"/>
    </cacheField>
    <cacheField name="19" numFmtId="0">
      <sharedItems containsDate="1" containsBlank="1" containsMixedTypes="1" minDate="1899-12-30T00:00:00" maxDate="1899-12-31T00:00:00"/>
    </cacheField>
    <cacheField name="20" numFmtId="0">
      <sharedItems containsDate="1" containsBlank="1" containsMixedTypes="1" minDate="1899-12-30T00:00:00" maxDate="1899-12-30T00:58:00"/>
    </cacheField>
    <cacheField name="21" numFmtId="0">
      <sharedItems containsDate="1" containsBlank="1" containsMixedTypes="1" minDate="1899-12-30T00:00:00" maxDate="1899-12-30T00:52:00"/>
    </cacheField>
    <cacheField name="22" numFmtId="0">
      <sharedItems containsDate="1" containsBlank="1" containsMixedTypes="1" minDate="1899-12-30T00:00:00" maxDate="1899-12-30T00:57:00"/>
    </cacheField>
    <cacheField name="23" numFmtId="0">
      <sharedItems containsDate="1" containsBlank="1" containsMixedTypes="1" minDate="1899-12-30T00:00:00" maxDate="1899-12-31T00:00:00"/>
    </cacheField>
    <cacheField name="24" numFmtId="0">
      <sharedItems containsDate="1" containsBlank="1" containsMixedTypes="1" minDate="1899-12-30T00:00:00" maxDate="1899-12-31T00:00:00"/>
    </cacheField>
    <cacheField name="25" numFmtId="0">
      <sharedItems containsDate="1" containsBlank="1" containsMixedTypes="1" minDate="1899-12-30T00:00:00" maxDate="1899-12-31T00:00:00"/>
    </cacheField>
    <cacheField name="26" numFmtId="0">
      <sharedItems containsDate="1" containsBlank="1" containsMixedTypes="1" minDate="1899-12-30T00:00:00" maxDate="1899-12-30T00:55:00"/>
    </cacheField>
    <cacheField name="27" numFmtId="0">
      <sharedItems containsDate="1" containsBlank="1" containsMixedTypes="1" minDate="1899-12-30T00:00:00" maxDate="1899-12-31T00:00:00"/>
    </cacheField>
    <cacheField name="28" numFmtId="0">
      <sharedItems containsDate="1" containsBlank="1" containsMixedTypes="1" minDate="1899-12-30T00:00:00" maxDate="1899-12-30T00:58:00"/>
    </cacheField>
    <cacheField name="29" numFmtId="0">
      <sharedItems containsDate="1" containsBlank="1" containsMixedTypes="1" minDate="1899-12-30T00:00:00" maxDate="1899-12-31T00:00:00"/>
    </cacheField>
    <cacheField name="30" numFmtId="0">
      <sharedItems containsDate="1" containsBlank="1" containsMixedTypes="1" minDate="1899-12-30T00:00:00" maxDate="1899-12-31T00:00:00"/>
    </cacheField>
    <cacheField name="31" numFmtId="0">
      <sharedItems containsDate="1" containsBlank="1" containsMixedTypes="1" minDate="1899-12-30T00:00:00" maxDate="1899-12-31T00:00:00"/>
    </cacheField>
    <cacheField name="32" numFmtId="0">
      <sharedItems containsNonDate="0" containsDate="1" containsString="0" containsBlank="1" minDate="1899-12-30T00:00:00" maxDate="1899-12-30T00:29:00"/>
    </cacheField>
    <cacheField name="MES" numFmtId="0">
      <sharedItems containsString="0" containsBlank="1" containsNumber="1" containsInteger="1" minValue="1" maxValue="8" count="9">
        <n v="1"/>
        <n v="2"/>
        <n v="3"/>
        <n v="4"/>
        <n v="5"/>
        <n v="6"/>
        <n v="7"/>
        <n v="8"/>
        <m/>
      </sharedItems>
    </cacheField>
    <cacheField name="DIAS MES" numFmtId="0">
      <sharedItems containsString="0" containsBlank="1" containsNumber="1" containsInteger="1" minValue="29" maxValue="32"/>
    </cacheField>
    <cacheField name="TOLERANCIA" numFmtId="0">
      <sharedItems containsNonDate="0" containsDate="1" containsString="0" containsBlank="1" minDate="1899-12-30T00:10:00" maxDate="1899-12-30T00:10:00"/>
    </cacheField>
    <cacheField name="Tard. &gt; 00:10" numFmtId="0">
      <sharedItems containsString="0" containsBlank="1" containsNumber="1" containsInteger="1" minValue="0" maxValue="26"/>
    </cacheField>
    <cacheField name="%" numFmtId="0">
      <sharedItems containsString="0" containsBlank="1" containsNumber="1" minValue="0" maxValue="0.83870967741935487"/>
    </cacheField>
    <cacheField name="FALTAS" numFmtId="0">
      <sharedItems containsString="0" containsBlank="1" containsNumber="1" containsInteger="1" minValue="0" maxValue="26"/>
    </cacheField>
    <cacheField name="ESTATUS" numFmtId="0">
      <sharedItems containsBlank="1" count="3">
        <s v="ACTIVO"/>
        <s v="CESADO"/>
        <m/>
      </sharedItems>
    </cacheField>
    <cacheField name="NOM ABREV" numFmtId="0">
      <sharedItems containsBlank="1" count="41">
        <s v="ROCIO CACERES"/>
        <s v="LOURDES LLANOS"/>
        <s v="MARIELLA TICLLA"/>
        <s v="RICHARD PARIONA"/>
        <s v="YAHAIRA GALINDO"/>
        <s v="STEPHEN LLANOS"/>
        <s v="LUZ CCAMA"/>
        <s v="ANDREA CAYCHO"/>
        <s v="ROCIO PAREDES"/>
        <s v="ROGELIO GUEVARA"/>
        <s v="SILVIA ASIAN"/>
        <s v="ANGELICA PRETELL"/>
        <s v="SAMANTHA TENORIO"/>
        <s v="CARLOS LOPEZ"/>
        <s v="JEFFERSON LOPEZ"/>
        <s v="RONY CRUZ"/>
        <s v="MARQUIÑO ANDRADE"/>
        <s v="JEAN FELIX"/>
        <s v="LITTA CLAROS"/>
        <s v="JHON CCARI"/>
        <s v="FRANCISCO MEJIA"/>
        <s v="CARLOS GUEVARA"/>
        <s v="KIMBERLLY AMES"/>
        <s v="LILIANA ALVARADO"/>
        <s v="LUZ MAYTA"/>
        <s v="BRIGHITTE ALVAREZ"/>
        <s v="MANUEL MERMA"/>
        <s v="GRECIA SANCHEZ"/>
        <s v="DIANA CHAVEZ"/>
        <s v="JONATHAN URDAY"/>
        <s v="MARLENE PEREZ"/>
        <s v="YAEL ALARCON"/>
        <s v="JOE ZARATE"/>
        <s v="JORGE CORDOVA"/>
        <s v="OSCAR PARIAPAZA"/>
        <s v="ALEXANDER LUJAN"/>
        <s v="LEONEL LAURA"/>
        <s v="DARWIN LAURA"/>
        <s v="IMANOL HANCCO"/>
        <s v="STEFANO BORD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s v="00001"/>
    <s v="CACERES CORDOVA, ROCIO SANDRA"/>
    <s v="48429690"/>
    <d v="1899-12-30T00:16:00"/>
    <d v="1899-12-30T00:18:00"/>
    <d v="1899-12-30T00:15:00"/>
    <d v="1899-12-30T00:00:00"/>
    <d v="1899-12-30T00:15:00"/>
    <s v="F"/>
    <d v="1899-12-30T00:00:00"/>
    <d v="1899-12-30T00:00:00"/>
    <d v="1899-12-30T00:06:00"/>
    <d v="1899-12-30T00:00:00"/>
    <d v="1899-12-30T00:00:00"/>
    <d v="1899-12-30T00:23:00"/>
    <d v="1899-12-30T00:22:00"/>
    <d v="1899-12-30T00:22:00"/>
    <s v=" 3:32"/>
    <d v="1899-12-30T00:15:00"/>
    <d v="1899-12-30T00:00:00"/>
    <d v="1899-12-30T00:00:00"/>
    <d v="1899-12-30T00:00:00"/>
    <d v="1899-12-30T00:22:00"/>
    <d v="1899-12-30T00:15:00"/>
    <d v="1899-12-30T00:10:00"/>
    <d v="1899-12-30T00:00:00"/>
    <d v="1899-12-30T00:00:00"/>
    <d v="1899-12-30T00:00:00"/>
    <s v="F"/>
    <d v="1899-12-30T00:00:00"/>
    <d v="1899-12-30T00:26:00"/>
    <d v="1899-12-30T00:00:00"/>
    <d v="1899-12-30T00:00:00"/>
    <d v="1899-12-30T00:00:00"/>
    <m/>
    <x v="0"/>
    <n v="31"/>
    <d v="1899-12-30T00:10:00"/>
    <n v="11"/>
    <n v="0.35483870967741937"/>
    <n v="2"/>
    <x v="0"/>
    <x v="0"/>
  </r>
  <r>
    <s v="00003"/>
    <s v="LLANOS YAURI, LOURDES LUCIA"/>
    <s v="10602846"/>
    <d v="1899-12-30T00:00:00"/>
    <d v="1899-12-30T00:30:00"/>
    <d v="1899-12-30T00:34:00"/>
    <d v="1899-12-30T00:00:00"/>
    <d v="1899-12-30T00:06:00"/>
    <s v="F"/>
    <d v="1899-12-30T00:00:00"/>
    <d v="1899-12-30T00:19:00"/>
    <d v="1899-12-30T00:36:00"/>
    <d v="1899-12-30T00:10:00"/>
    <d v="1899-12-30T00:00:00"/>
    <d v="1899-12-30T00:36:00"/>
    <d v="1899-12-30T00:45:00"/>
    <d v="1899-12-30T00:27:00"/>
    <d v="1899-12-30T00:53:00"/>
    <d v="1899-12-30T00:00:00"/>
    <d v="1899-12-30T00:00:00"/>
    <d v="1899-12-30T00:00:00"/>
    <d v="1899-12-30T00:00:00"/>
    <s v="F"/>
    <s v="F"/>
    <s v="F"/>
    <s v="F"/>
    <s v="F"/>
    <d v="1899-12-30T00:00:00"/>
    <s v="F"/>
    <d v="1899-12-30T00:00:00"/>
    <d v="1899-12-30T00:41:00"/>
    <d v="1899-12-30T00:00:00"/>
    <d v="1899-12-30T00:14:00"/>
    <d v="1899-12-30T00:19:00"/>
    <m/>
    <x v="0"/>
    <n v="31"/>
    <d v="1899-12-30T00:10:00"/>
    <n v="11"/>
    <n v="0.35483870967741937"/>
    <n v="7"/>
    <x v="0"/>
    <x v="1"/>
  </r>
  <r>
    <s v="00004"/>
    <s v="TICLLA RAMOS, MARIELLA"/>
    <s v="72262268"/>
    <s v="F"/>
    <s v="F"/>
    <s v="F"/>
    <d v="1899-12-30T00:00:00"/>
    <s v="F"/>
    <s v="F"/>
    <d v="1899-12-30T00:00:00"/>
    <s v="F"/>
    <s v="F"/>
    <s v="F"/>
    <d v="1899-12-30T00:00:00"/>
    <s v="F"/>
    <s v="F"/>
    <s v="F"/>
    <s v="F"/>
    <s v="F"/>
    <d v="1899-12-30T00:00:00"/>
    <d v="1899-12-30T00:00:00"/>
    <d v="1899-12-30T00:00:00"/>
    <s v="F"/>
    <s v="F"/>
    <d v="1899-12-30T00:42:00"/>
    <d v="1899-12-30T00:28:00"/>
    <d v="1899-12-30T00:00:00"/>
    <d v="1899-12-30T00:00:00"/>
    <d v="1899-12-30T00:22:00"/>
    <d v="1899-12-30T00:21:00"/>
    <d v="1899-12-30T00:00:00"/>
    <d v="1899-12-30T00:14:00"/>
    <d v="1899-12-30T00:15:00"/>
    <d v="1899-12-30T00:03:00"/>
    <m/>
    <x v="0"/>
    <n v="31"/>
    <d v="1899-12-30T00:10:00"/>
    <n v="6"/>
    <n v="0.19354838709677419"/>
    <n v="15"/>
    <x v="0"/>
    <x v="2"/>
  </r>
  <r>
    <s v="00006"/>
    <s v="PARIONA ROSAS, RICHARD"/>
    <s v="71001774"/>
    <d v="1899-12-30T00:00:00"/>
    <s v="F"/>
    <s v="F"/>
    <d v="1899-12-30T00:00:00"/>
    <d v="1899-12-30T00:00:00"/>
    <s v="F"/>
    <d v="1899-12-30T00:00:00"/>
    <d v="1899-12-30T00:00:00"/>
    <d v="1899-12-30T00:13:00"/>
    <d v="1899-12-30T00:18:00"/>
    <d v="1899-12-30T00:00:00"/>
    <d v="1899-12-30T00:05:00"/>
    <d v="1899-12-30T00:00:00"/>
    <d v="1899-12-30T00:24:00"/>
    <s v=" 1:39"/>
    <d v="1899-12-30T00:35:00"/>
    <d v="1899-12-30T00:00:00"/>
    <d v="1899-12-30T00:00:00"/>
    <d v="1899-12-30T00:00:00"/>
    <d v="1899-12-30T00:05:00"/>
    <d v="1899-12-30T00:00:00"/>
    <d v="1899-12-30T00:00:00"/>
    <d v="1899-12-30T00:00:00"/>
    <d v="1899-12-30T00:00:00"/>
    <d v="1899-12-30T00:00:00"/>
    <d v="1899-12-30T00:00:00"/>
    <d v="1899-12-30T00:20:00"/>
    <d v="1899-12-30T00:03:00"/>
    <d v="1899-12-30T00:14:00"/>
    <d v="1899-12-30T00:00:00"/>
    <d v="1899-12-30T00:08:00"/>
    <m/>
    <x v="0"/>
    <n v="31"/>
    <d v="1899-12-30T00:10:00"/>
    <n v="6"/>
    <n v="0.19354838709677419"/>
    <n v="3"/>
    <x v="0"/>
    <x v="3"/>
  </r>
  <r>
    <s v="00007"/>
    <s v="GALINDO MERA, YAHAIRA LUZMILA"/>
    <s v="70655433"/>
    <d v="1899-12-30T00:00:00"/>
    <d v="1899-12-30T00:02:00"/>
    <d v="1899-12-30T00:08:00"/>
    <d v="1899-12-30T00:00:00"/>
    <d v="1899-12-30T00:01:00"/>
    <s v="F"/>
    <d v="1899-12-30T00:00:00"/>
    <d v="1899-12-30T00:08:00"/>
    <d v="1899-12-30T00:13:00"/>
    <d v="1899-12-30T00:15:00"/>
    <d v="1899-12-30T00:00:00"/>
    <d v="1899-12-30T00:24:00"/>
    <d v="1899-12-30T00:17:00"/>
    <d v="1899-12-30T00:23:00"/>
    <d v="1899-12-30T00:43:00"/>
    <d v="1899-12-30T00:34:00"/>
    <d v="1899-12-30T00:00:00"/>
    <d v="1899-12-30T00:00:00"/>
    <d v="1899-12-30T00:00:00"/>
    <d v="1899-12-30T00:13:00"/>
    <d v="1899-12-30T00:46:00"/>
    <d v="1899-12-30T00:25:00"/>
    <d v="1899-12-30T00:00:00"/>
    <d v="1899-12-30T00:00:00"/>
    <d v="1899-12-30T00:00:00"/>
    <d v="1899-12-30T00:00:00"/>
    <d v="1899-12-30T00:21:00"/>
    <d v="1899-12-30T00:15:00"/>
    <d v="1899-12-30T00:14:00"/>
    <d v="1899-12-30T00:00:00"/>
    <d v="1899-12-30T00:11:00"/>
    <m/>
    <x v="0"/>
    <n v="31"/>
    <d v="1899-12-30T00:10:00"/>
    <n v="14"/>
    <n v="0.45161290322580644"/>
    <n v="1"/>
    <x v="1"/>
    <x v="4"/>
  </r>
  <r>
    <s v="00008"/>
    <s v="LLANOS ANTAURCO, STEPHEN BORIS"/>
    <s v="46183969"/>
    <d v="1899-12-30T00:21:00"/>
    <d v="1899-12-30T00:00:00"/>
    <d v="1899-12-30T00:00:00"/>
    <d v="1899-12-30T00:00:00"/>
    <d v="1899-12-30T00:00:00"/>
    <s v="F"/>
    <d v="1899-12-30T00:00:00"/>
    <d v="1899-12-30T00:00:00"/>
    <d v="1899-12-30T00:02:00"/>
    <d v="1899-12-30T00:00:00"/>
    <d v="1899-12-30T00:00:00"/>
    <d v="1899-12-30T00:00:00"/>
    <d v="1899-12-30T00:00:00"/>
    <d v="1899-12-30T00:00:00"/>
    <d v="1899-12-30T00:04:00"/>
    <d v="1899-12-30T00:38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3:00"/>
    <d v="1899-12-30T00:04:00"/>
    <d v="1899-12-30T00:00:00"/>
    <d v="1899-12-30T00:00:00"/>
    <m/>
    <x v="0"/>
    <n v="31"/>
    <d v="1899-12-30T00:10:00"/>
    <n v="2"/>
    <n v="6.4516129032258063E-2"/>
    <n v="1"/>
    <x v="0"/>
    <x v="5"/>
  </r>
  <r>
    <s v="00010"/>
    <s v="CCAMA ARONI, LUZ MIRELLA"/>
    <s v="76575233"/>
    <d v="1899-12-30T00:27:00"/>
    <d v="1899-12-30T00:20:00"/>
    <d v="1899-12-30T00:15:00"/>
    <d v="1899-12-30T00:00:00"/>
    <d v="1899-12-30T00:10:00"/>
    <s v="F"/>
    <d v="1899-12-30T00:00:00"/>
    <d v="1899-12-30T00:08:00"/>
    <d v="1899-12-30T00:03:00"/>
    <d v="1899-12-30T00:12:00"/>
    <d v="1899-12-30T00:00:00"/>
    <d v="1899-12-30T00:30:00"/>
    <d v="1899-12-30T00:00:00"/>
    <d v="1899-12-30T00:31:00"/>
    <d v="1899-12-30T00:16:00"/>
    <d v="1899-12-30T00:15:00"/>
    <d v="1899-12-30T00:00:00"/>
    <d v="1899-12-30T00:00:00"/>
    <d v="1899-12-30T00:00:00"/>
    <d v="1899-12-30T00:30:00"/>
    <d v="1899-12-30T00:33:00"/>
    <d v="1899-12-30T00:18:00"/>
    <d v="1899-12-30T00:10:00"/>
    <d v="1899-12-30T00:00:00"/>
    <d v="1899-12-30T00:00:00"/>
    <d v="1899-12-30T00:02:00"/>
    <d v="1899-12-30T00:31:00"/>
    <d v="1899-12-30T00:25:00"/>
    <d v="1899-12-30T00:50:00"/>
    <s v=" 5:03"/>
    <d v="1899-12-30T00:18:00"/>
    <m/>
    <x v="0"/>
    <n v="31"/>
    <d v="1899-12-30T00:10:00"/>
    <n v="15"/>
    <n v="0.4838709677419355"/>
    <n v="1"/>
    <x v="0"/>
    <x v="6"/>
  </r>
  <r>
    <s v="00013"/>
    <s v="CAYCHO HUANCA, ANDREA ALESSANDRA"/>
    <s v="76227067"/>
    <d v="1899-12-30T00:05:00"/>
    <d v="1899-12-30T00:18:00"/>
    <d v="1899-12-30T00:14:00"/>
    <d v="1899-12-30T00:00:00"/>
    <d v="1899-12-30T00:17:00"/>
    <s v="F"/>
    <d v="1899-12-30T00:00:00"/>
    <d v="1899-12-30T00:00:00"/>
    <d v="1899-12-30T00:00:00"/>
    <d v="1899-12-30T00:32:00"/>
    <d v="1899-12-30T00:00:00"/>
    <d v="1899-12-30T00:22:00"/>
    <d v="1899-12-30T00:28:00"/>
    <d v="1899-12-30T00:26:00"/>
    <d v="1899-12-30T00:35:00"/>
    <d v="1899-12-30T00:32:00"/>
    <d v="1899-12-30T00:00:00"/>
    <d v="1899-12-30T00:00:00"/>
    <d v="1899-12-30T00:00:00"/>
    <d v="1899-12-30T00:14:00"/>
    <d v="1899-12-30T00:36:00"/>
    <d v="1899-12-30T00:38:00"/>
    <d v="1899-12-30T00:32:00"/>
    <d v="1899-12-30T00:00:00"/>
    <d v="1899-12-30T00:00:00"/>
    <d v="1899-12-30T00:00:00"/>
    <d v="1899-12-30T00:17:00"/>
    <d v="1899-12-30T00:34:00"/>
    <d v="1899-12-30T00:19:00"/>
    <d v="1899-12-30T00:54:00"/>
    <d v="1899-12-30T00:17:00"/>
    <m/>
    <x v="0"/>
    <n v="31"/>
    <d v="1899-12-30T00:10:00"/>
    <n v="18"/>
    <n v="0.58064516129032262"/>
    <n v="1"/>
    <x v="1"/>
    <x v="7"/>
  </r>
  <r>
    <s v="00014"/>
    <s v="PAREDES GUILLEN, ROCIO NOEMI"/>
    <s v="09930677"/>
    <d v="1899-12-30T00:00:00"/>
    <d v="1899-12-30T00:00:00"/>
    <d v="1899-12-30T00:00:00"/>
    <d v="1899-12-30T00:00:00"/>
    <d v="1899-12-30T00:00:00"/>
    <s v="F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s v=" 1:11"/>
    <d v="1899-12-30T00:00:00"/>
    <d v="1899-12-30T00:00:00"/>
    <d v="1899-12-30T00:00:00"/>
    <d v="1899-12-30T00:00:00"/>
    <d v="1899-12-30T00:00:00"/>
    <d v="1899-12-30T00:00:00"/>
    <d v="1899-12-30T00:14:00"/>
    <d v="1899-12-30T00:00:00"/>
    <d v="1899-12-30T00:30:00"/>
    <m/>
    <x v="0"/>
    <n v="31"/>
    <d v="1899-12-30T00:10:00"/>
    <n v="2"/>
    <n v="6.4516129032258063E-2"/>
    <n v="1"/>
    <x v="1"/>
    <x v="8"/>
  </r>
  <r>
    <s v="00016"/>
    <s v="GUEVARA ENRIQUEZ, ROGELIO"/>
    <s v="70237404"/>
    <d v="1899-12-30T00:00:00"/>
    <d v="1899-12-30T00:00:00"/>
    <d v="1899-12-30T00:00:00"/>
    <d v="1899-12-30T00:00:00"/>
    <d v="1899-12-30T00:00:00"/>
    <s v="F"/>
    <d v="1899-12-30T00:00:00"/>
    <d v="1899-12-30T00:00:00"/>
    <d v="1899-12-30T00:00:00"/>
    <d v="1899-12-30T00:02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x v="0"/>
    <n v="31"/>
    <d v="1899-12-30T00:10:00"/>
    <n v="0"/>
    <n v="0"/>
    <n v="1"/>
    <x v="1"/>
    <x v="9"/>
  </r>
  <r>
    <s v="00017"/>
    <s v="ASIAN RAMIREZ, SILVIA LARITZA"/>
    <s v="70098369"/>
    <d v="1899-12-30T00:18:00"/>
    <s v=" 1:00"/>
    <d v="1899-12-30T00:22:00"/>
    <d v="1899-12-30T00:00:00"/>
    <d v="1899-12-30T00:00:00"/>
    <s v="F"/>
    <d v="1899-12-30T00:00:00"/>
    <d v="1899-12-30T00:39:00"/>
    <d v="1899-12-30T00:00:00"/>
    <d v="1899-12-30T00:08:00"/>
    <d v="1899-12-30T00:00:00"/>
    <d v="1899-12-30T00:24:00"/>
    <d v="1899-12-30T00:10:00"/>
    <d v="1899-12-30T00:25:00"/>
    <d v="1899-12-30T00:48:00"/>
    <d v="1899-12-30T00:00:00"/>
    <d v="1899-12-30T00:00:00"/>
    <d v="1899-12-30T00:00:00"/>
    <d v="1899-12-30T00:00:00"/>
    <d v="1899-12-30T00:00:00"/>
    <d v="1899-12-30T00:25:00"/>
    <d v="1899-12-30T00:30:00"/>
    <d v="1899-12-30T00:19:00"/>
    <s v="F"/>
    <d v="1899-12-30T00:00:00"/>
    <d v="1899-12-30T00:43:00"/>
    <d v="1899-12-30T00:47:00"/>
    <d v="1899-12-30T00:00:00"/>
    <d v="1899-12-30T00:00:00"/>
    <d v="1899-12-30T00:16:00"/>
    <d v="1899-12-30T00:07:00"/>
    <m/>
    <x v="0"/>
    <n v="31"/>
    <d v="1899-12-30T00:10:00"/>
    <n v="12"/>
    <n v="0.38709677419354838"/>
    <n v="2"/>
    <x v="1"/>
    <x v="10"/>
  </r>
  <r>
    <s v="00021"/>
    <s v="PRETELL PINTADO, ANGELICA DIANA"/>
    <s v="72648191"/>
    <d v="1899-12-30T00:23:00"/>
    <d v="1899-12-30T00:30:00"/>
    <s v=" 1:02"/>
    <d v="1899-12-30T00:00:00"/>
    <d v="1899-12-30T00:42:00"/>
    <s v="F"/>
    <d v="1899-12-30T00:00:00"/>
    <d v="1899-12-30T00:34:00"/>
    <d v="1899-12-30T00:15:00"/>
    <d v="1899-12-30T00:16:00"/>
    <d v="1899-12-30T00:00:00"/>
    <d v="1899-12-30T00:37:00"/>
    <d v="1899-12-30T00:44:00"/>
    <d v="1899-12-30T00:20:00"/>
    <d v="1899-12-30T00:45:00"/>
    <d v="1899-12-30T00:25:00"/>
    <d v="1899-12-30T00:00:00"/>
    <d v="1899-12-30T00:00:00"/>
    <d v="1899-12-30T00:00:00"/>
    <d v="1899-12-30T00:30:00"/>
    <d v="1899-12-30T00:21:00"/>
    <d v="1899-12-30T00:26:00"/>
    <d v="1899-12-30T00:00:00"/>
    <d v="1899-12-30T00:00:00"/>
    <d v="1899-12-30T00:00:00"/>
    <d v="1899-12-30T00:00:00"/>
    <d v="1899-12-30T00:10:00"/>
    <d v="1899-12-30T00:44:00"/>
    <d v="1899-12-30T00:40:00"/>
    <d v="1899-12-30T00:40:00"/>
    <d v="1899-12-30T00:18:00"/>
    <m/>
    <x v="0"/>
    <n v="31"/>
    <d v="1899-12-30T00:10:00"/>
    <n v="18"/>
    <n v="0.58064516129032262"/>
    <n v="1"/>
    <x v="1"/>
    <x v="11"/>
  </r>
  <r>
    <s v="00022"/>
    <s v="TENORIO FELIX, SAMANTHA NICOLLE"/>
    <s v="72925189"/>
    <s v="F"/>
    <d v="1899-12-30T00:00:00"/>
    <d v="1899-12-30T00:22:00"/>
    <d v="1899-12-30T00:00:00"/>
    <d v="1899-12-30T00:00:00"/>
    <s v="F"/>
    <d v="1899-12-30T00:00:00"/>
    <d v="1899-12-30T00:00:00"/>
    <d v="1899-12-30T00:00:00"/>
    <d v="1899-12-30T00:15:00"/>
    <d v="1899-12-30T00:00:00"/>
    <d v="1899-12-30T00:00:00"/>
    <d v="1899-12-30T00:21:00"/>
    <d v="1899-12-30T00:00:00"/>
    <d v="1899-12-30T00:20:00"/>
    <d v="1899-12-30T00:00:00"/>
    <d v="1899-12-30T00:00:00"/>
    <d v="1899-12-30T00:00:00"/>
    <d v="1899-12-30T00:00:00"/>
    <d v="1899-12-30T00:00:00"/>
    <d v="1899-12-30T00:29:00"/>
    <d v="1899-12-30T00:00:00"/>
    <d v="1899-12-30T00:19:00"/>
    <d v="1899-12-30T00:00:00"/>
    <d v="1899-12-30T00:00:00"/>
    <s v="F"/>
    <s v="F"/>
    <s v="F"/>
    <s v="F"/>
    <d v="1899-12-30T00:57:00"/>
    <s v=" 1:15"/>
    <m/>
    <x v="0"/>
    <n v="31"/>
    <d v="1899-12-30T00:10:00"/>
    <n v="7"/>
    <n v="0.22580645161290322"/>
    <n v="6"/>
    <x v="1"/>
    <x v="12"/>
  </r>
  <r>
    <s v="00023"/>
    <s v="LOPEZ FARIAS, CARLOS JOAQUIN"/>
    <s v="73619936"/>
    <d v="1899-12-30T00:06:00"/>
    <d v="1899-12-30T00:05:00"/>
    <d v="1899-12-30T00:00:00"/>
    <d v="1899-12-30T00:00:00"/>
    <d v="1899-12-30T00:09:00"/>
    <s v="F"/>
    <d v="1899-12-30T00:00:00"/>
    <s v="F"/>
    <d v="1899-12-30T00:00:00"/>
    <d v="1899-12-30T00:15:00"/>
    <d v="1899-12-30T00:00:00"/>
    <d v="1899-12-30T00:01:00"/>
    <d v="1899-12-30T00:00:00"/>
    <d v="1899-12-30T00:00:00"/>
    <d v="1899-12-30T00:43:00"/>
    <d v="1899-12-30T00:00:00"/>
    <d v="1899-12-30T00:00:00"/>
    <d v="1899-12-30T00:00:00"/>
    <d v="1899-12-30T00:00:00"/>
    <d v="1899-12-30T00:16:00"/>
    <d v="1899-12-30T00:01:00"/>
    <d v="1899-12-30T00:12:00"/>
    <d v="1899-12-30T00:10:00"/>
    <d v="1899-12-30T00:00:00"/>
    <d v="1899-12-30T00:00:00"/>
    <d v="1899-12-30T00:00:00"/>
    <d v="1899-12-30T00:00:00"/>
    <d v="1899-12-30T00:08:00"/>
    <d v="1899-12-30T00:00:00"/>
    <d v="1899-12-30T00:04:00"/>
    <d v="1899-12-30T00:22:00"/>
    <m/>
    <x v="0"/>
    <n v="31"/>
    <d v="1899-12-30T00:10:00"/>
    <n v="5"/>
    <n v="0.16129032258064516"/>
    <n v="2"/>
    <x v="0"/>
    <x v="13"/>
  </r>
  <r>
    <s v="00024"/>
    <s v="LOPEZ CRUZ, JEFFERSON NORMAN"/>
    <s v="72754919"/>
    <d v="1899-12-30T00:07:00"/>
    <d v="1899-12-30T00:00:00"/>
    <d v="1899-12-30T00:00:00"/>
    <d v="1899-12-30T00:00:00"/>
    <d v="1899-12-30T00:03:00"/>
    <s v="F"/>
    <d v="1899-12-30T00:00:00"/>
    <d v="1899-12-30T00:04:00"/>
    <d v="1899-12-30T00:12:00"/>
    <d v="1899-12-30T00:00:00"/>
    <d v="1899-12-30T00:00:00"/>
    <s v=" 2:47"/>
    <d v="1899-12-30T00:42:00"/>
    <d v="1899-12-30T00:00:00"/>
    <d v="1899-12-30T00:35:00"/>
    <d v="1899-12-30T00:13:00"/>
    <d v="1899-12-30T00:00:00"/>
    <d v="1899-12-30T00:00:00"/>
    <d v="1899-12-30T00:00:00"/>
    <d v="1899-12-30T00:21:00"/>
    <d v="1899-12-30T00:18:00"/>
    <d v="1899-12-30T00:23:00"/>
    <d v="1899-12-30T00:08:00"/>
    <d v="1899-12-30T00:00:00"/>
    <d v="1899-12-30T00:00:00"/>
    <d v="1899-12-30T00:00:00"/>
    <d v="1899-12-30T00:04:00"/>
    <d v="1899-12-30T00:00:00"/>
    <d v="1899-12-30T00:21:00"/>
    <d v="1899-12-30T00:56:00"/>
    <d v="1899-12-30T00:34:00"/>
    <m/>
    <x v="0"/>
    <n v="31"/>
    <d v="1899-12-30T00:10:00"/>
    <n v="10"/>
    <n v="0.32258064516129031"/>
    <n v="1"/>
    <x v="1"/>
    <x v="14"/>
  </r>
  <r>
    <s v="00025"/>
    <s v="CRUZ TAIPE, RONY WALDIR"/>
    <s v="76848378"/>
    <d v="1899-12-30T00:13:00"/>
    <d v="1899-12-30T00:00:00"/>
    <d v="1899-12-30T00:00:00"/>
    <d v="1899-12-30T00:00:00"/>
    <d v="1899-12-30T00:08:00"/>
    <s v=" 5:11"/>
    <d v="1899-12-30T00:00:00"/>
    <d v="1899-12-30T00:00:00"/>
    <d v="1899-12-30T00:00:00"/>
    <s v=" 1:18"/>
    <d v="1899-12-30T00:00:00"/>
    <d v="1899-12-30T00:04:00"/>
    <d v="1899-12-30T00:48:00"/>
    <d v="1899-12-30T00:00:00"/>
    <d v="1899-12-30T00:12:00"/>
    <d v="1899-12-30T00:08:00"/>
    <d v="1899-12-30T00:00:00"/>
    <d v="1899-12-30T00:00:00"/>
    <d v="1899-12-30T00:00:00"/>
    <d v="1899-12-30T00:00:00"/>
    <d v="1899-12-30T00:00:00"/>
    <d v="1899-12-30T00:00:00"/>
    <d v="1899-12-30T00:00:00"/>
    <d v="1899-12-30T00:04:00"/>
    <d v="1899-12-30T00:00:00"/>
    <d v="1899-12-30T00:00:00"/>
    <s v=" 4:43"/>
    <d v="1899-12-30T00:00:00"/>
    <d v="1899-12-30T00:00:00"/>
    <d v="1899-12-30T00:00:00"/>
    <d v="1899-12-30T00:00:00"/>
    <m/>
    <x v="0"/>
    <n v="31"/>
    <d v="1899-12-30T00:10:00"/>
    <n v="3"/>
    <n v="9.6774193548387094E-2"/>
    <n v="0"/>
    <x v="0"/>
    <x v="15"/>
  </r>
  <r>
    <s v="00026"/>
    <s v="ANDRADE MERA, MARQUIÑO ANTONY"/>
    <s v="74768155"/>
    <d v="1899-12-30T00:06:00"/>
    <d v="1899-12-30T00:16:00"/>
    <d v="1899-12-30T00:13:00"/>
    <d v="1899-12-30T00:00:00"/>
    <d v="1899-12-30T00:00:00"/>
    <s v="F"/>
    <d v="1899-12-30T00:00:00"/>
    <s v="F"/>
    <d v="1899-12-30T00:00:00"/>
    <d v="1899-12-30T00:00:00"/>
    <d v="1899-12-30T00:00:00"/>
    <d v="1899-12-30T00:54:00"/>
    <d v="1899-12-30T00:00:00"/>
    <d v="1899-12-30T00:00:00"/>
    <d v="1899-12-30T00:03:00"/>
    <d v="1899-12-30T00:28:00"/>
    <d v="1899-12-30T00:00:00"/>
    <d v="1899-12-30T00:00:00"/>
    <d v="1899-12-30T00:00:00"/>
    <d v="1899-12-30T00:11:00"/>
    <d v="1899-12-30T00:15:00"/>
    <d v="1899-12-30T00:21:00"/>
    <d v="1899-12-30T00:15:00"/>
    <d v="1899-12-30T00:00:00"/>
    <d v="1899-12-30T00:00:00"/>
    <d v="1899-12-30T00:00:00"/>
    <d v="1899-12-30T00:13:00"/>
    <d v="1899-12-30T00:00:00"/>
    <d v="1899-12-30T00:00:00"/>
    <d v="1899-12-30T00:25:00"/>
    <d v="1899-12-30T00:06:00"/>
    <m/>
    <x v="0"/>
    <n v="31"/>
    <d v="1899-12-30T00:10:00"/>
    <n v="10"/>
    <n v="0.32258064516129031"/>
    <n v="2"/>
    <x v="1"/>
    <x v="16"/>
  </r>
  <r>
    <s v="00027"/>
    <s v="FELIX GARCIA, JEAN PIERRE"/>
    <s v="73453354"/>
    <d v="1899-12-30T00:16:00"/>
    <s v=" 1:09"/>
    <d v="1899-12-30T00:08:00"/>
    <d v="1899-12-30T00:00:00"/>
    <d v="1899-12-30T00:25:00"/>
    <s v="F"/>
    <d v="1899-12-30T00:00:00"/>
    <d v="1899-12-30T00:46:00"/>
    <s v="F"/>
    <d v="1899-12-30T00:57:00"/>
    <d v="1899-12-30T00:00:00"/>
    <d v="1899-12-30T00:00:00"/>
    <s v=" 1:07"/>
    <d v="1899-12-30T00:52:00"/>
    <d v="1899-12-30T00:00:00"/>
    <d v="1899-12-30T00:29:00"/>
    <d v="1899-12-30T00:00:00"/>
    <d v="1899-12-30T00:00:00"/>
    <d v="1899-12-30T00:00:00"/>
    <d v="1899-12-30T00:42:00"/>
    <d v="1899-12-30T00:05:00"/>
    <d v="1899-12-30T00:00:00"/>
    <d v="1899-12-30T00:29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x v="0"/>
    <n v="31"/>
    <d v="1899-12-30T00:10:00"/>
    <n v="8"/>
    <n v="0.25806451612903225"/>
    <n v="2"/>
    <x v="1"/>
    <x v="17"/>
  </r>
  <r>
    <s v="00028"/>
    <s v="CLAROS NIETO, LITTA DANERY"/>
    <s v="47329796"/>
    <d v="1899-12-30T00:51:00"/>
    <s v=" 1:03"/>
    <d v="1899-12-30T00:00:00"/>
    <d v="1899-12-30T00:00:00"/>
    <d v="1899-12-30T00:08:00"/>
    <s v="F"/>
    <d v="1899-12-30T00:00:00"/>
    <d v="1899-12-30T00:49:00"/>
    <s v=" 1:18"/>
    <d v="1899-12-30T00:06:00"/>
    <d v="1899-12-30T00:00:00"/>
    <d v="1899-12-30T00:22:00"/>
    <d v="1899-12-30T00:32:00"/>
    <d v="1899-12-30T00:19:00"/>
    <d v="1899-12-30T00:47:00"/>
    <d v="1899-12-30T00:33:00"/>
    <d v="1899-12-30T00:00:00"/>
    <d v="1899-12-30T00:00:00"/>
    <d v="1899-12-30T00:00:00"/>
    <d v="1899-12-30T00:07:00"/>
    <d v="1899-12-30T00:33:00"/>
    <d v="1899-12-30T00:41:00"/>
    <d v="1899-12-30T00:00:00"/>
    <d v="1899-12-30T00:00:00"/>
    <d v="1899-12-30T00:00:00"/>
    <s v="F"/>
    <d v="1899-12-30T00:40:00"/>
    <d v="1899-12-30T00:12:00"/>
    <d v="1899-12-30T00:46:00"/>
    <d v="1899-12-30T00:00:00"/>
    <d v="1899-12-30T00:15:00"/>
    <m/>
    <x v="0"/>
    <n v="31"/>
    <d v="1899-12-30T00:10:00"/>
    <n v="13"/>
    <n v="0.41935483870967744"/>
    <n v="2"/>
    <x v="1"/>
    <x v="18"/>
  </r>
  <r>
    <s v="00029"/>
    <s v="CCARI ASILLO, JHON MILTHON"/>
    <s v="77822746"/>
    <d v="1899-12-30T00:00:00"/>
    <d v="1899-12-30T00:56:00"/>
    <d v="1899-12-30T00:52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x v="0"/>
    <n v="31"/>
    <d v="1899-12-30T00:10:00"/>
    <n v="2"/>
    <n v="6.4516129032258063E-2"/>
    <n v="0"/>
    <x v="1"/>
    <x v="19"/>
  </r>
  <r>
    <s v="00034"/>
    <s v="MEJIA TORRES, FRANCISCO JAVIER"/>
    <s v="72350882"/>
    <d v="1899-12-30T00:00:00"/>
    <d v="1899-12-30T00:00:00"/>
    <d v="1899-12-30T00:00:00"/>
    <d v="1899-12-30T00:00:00"/>
    <d v="1899-12-30T00:00:00"/>
    <s v="F"/>
    <d v="1899-12-30T00:00:00"/>
    <d v="1899-12-30T00:00:00"/>
    <d v="1899-12-30T00:03:00"/>
    <d v="1899-12-30T00:00:00"/>
    <d v="1899-12-30T00:00:00"/>
    <d v="1899-12-30T00:06:00"/>
    <d v="1899-12-30T00:00:00"/>
    <d v="1899-12-30T00:07:00"/>
    <d v="1899-12-30T00:02:00"/>
    <d v="1899-12-30T00:02:00"/>
    <d v="1899-12-30T00:00:00"/>
    <d v="1899-12-30T00:00:00"/>
    <d v="1899-12-30T00:00:00"/>
    <d v="1899-12-30T00:05:00"/>
    <d v="1899-12-30T00:00:00"/>
    <d v="1899-12-30T00:00:00"/>
    <d v="1899-12-30T00:00:00"/>
    <d v="1899-12-30T00:00:00"/>
    <d v="1899-12-30T00:00:00"/>
    <d v="1899-12-30T00:11:00"/>
    <d v="1899-12-30T00:00:00"/>
    <d v="1899-12-30T00:01:00"/>
    <d v="1899-12-30T00:00:00"/>
    <d v="1899-12-30T00:04:00"/>
    <d v="1899-12-30T00:00:00"/>
    <m/>
    <x v="0"/>
    <n v="31"/>
    <d v="1899-12-30T00:10:00"/>
    <n v="1"/>
    <n v="3.2258064516129031E-2"/>
    <n v="1"/>
    <x v="0"/>
    <x v="20"/>
  </r>
  <r>
    <s v="00035"/>
    <s v="GUEVARA CABELLO, CARLOS JEANPIERRE"/>
    <s v="74026944"/>
    <d v="1899-12-30T00:02:00"/>
    <d v="1899-12-30T00:03:00"/>
    <d v="1899-12-30T00:00:00"/>
    <d v="1899-12-30T00:00:00"/>
    <d v="1899-12-30T00:00:00"/>
    <s v="F"/>
    <d v="1899-12-30T00:00:00"/>
    <d v="1899-12-30T00:00:00"/>
    <d v="1899-12-30T00:06:00"/>
    <d v="1899-12-30T00:00:00"/>
    <d v="1899-12-30T00:00:00"/>
    <d v="1899-12-30T00:00:00"/>
    <d v="1899-12-30T00:05:00"/>
    <d v="1899-12-30T00:05:00"/>
    <d v="1899-12-30T00:00:00"/>
    <d v="1899-12-30T00:00:00"/>
    <d v="1899-12-30T00:00:00"/>
    <d v="1899-12-30T00:00:00"/>
    <d v="1899-12-30T00:00:00"/>
    <d v="1899-12-30T00:00:00"/>
    <d v="1899-12-30T00:01:00"/>
    <d v="1899-12-30T00:04:00"/>
    <d v="1899-12-30T00:12:00"/>
    <d v="1899-12-30T00:00:00"/>
    <d v="1899-12-30T00:00:00"/>
    <d v="1899-12-30T00:09:00"/>
    <d v="1899-12-30T00:11:00"/>
    <d v="1899-12-30T00:00:00"/>
    <d v="1899-12-30T00:00:00"/>
    <d v="1899-12-30T00:05:00"/>
    <d v="1899-12-30T00:00:00"/>
    <m/>
    <x v="0"/>
    <n v="31"/>
    <d v="1899-12-30T00:10:00"/>
    <n v="2"/>
    <n v="6.4516129032258063E-2"/>
    <n v="1"/>
    <x v="0"/>
    <x v="21"/>
  </r>
  <r>
    <s v="00036"/>
    <s v="AMES ESPINOZA, KIMBERLLY"/>
    <s v="75149675"/>
    <d v="1899-12-30T00:00:00"/>
    <d v="1899-12-30T00:15:00"/>
    <d v="1899-12-30T00:00:00"/>
    <d v="1899-12-30T00:00:00"/>
    <d v="1899-12-30T00:00:00"/>
    <s v="F"/>
    <d v="1899-12-30T00:00:00"/>
    <d v="1899-12-30T00:00:00"/>
    <d v="1899-12-30T00:00:00"/>
    <d v="1899-12-30T00:02:00"/>
    <d v="1899-12-30T00:00:00"/>
    <d v="1899-12-30T00:00:00"/>
    <d v="1899-12-30T00:09:00"/>
    <d v="1899-12-30T00:21:00"/>
    <d v="1899-12-30T00:18:00"/>
    <d v="1899-12-30T00:00:00"/>
    <d v="1899-12-30T00:00:00"/>
    <d v="1899-12-30T00:00:00"/>
    <d v="1899-12-30T00:00:00"/>
    <d v="1899-12-30T00:18:00"/>
    <d v="1899-12-30T00:00:00"/>
    <d v="1899-12-30T00:00:00"/>
    <d v="1899-12-30T00:16:00"/>
    <d v="1899-12-30T00:00:00"/>
    <d v="1899-12-30T00:00:00"/>
    <d v="1899-12-30T00:07:00"/>
    <d v="1899-12-30T00:00:00"/>
    <d v="1899-12-30T00:00:00"/>
    <d v="1899-12-30T00:00:00"/>
    <d v="1899-12-30T00:38:00"/>
    <s v="F"/>
    <m/>
    <x v="0"/>
    <n v="31"/>
    <d v="1899-12-30T00:10:00"/>
    <n v="6"/>
    <n v="0.19354838709677419"/>
    <n v="2"/>
    <x v="0"/>
    <x v="22"/>
  </r>
  <r>
    <s v="00037"/>
    <s v="ALVARADO ECHAIZ, LILIANA"/>
    <s v="15739413"/>
    <d v="1899-12-30T00:11:00"/>
    <d v="1899-12-30T00:00:00"/>
    <d v="1899-12-30T00:08:00"/>
    <d v="1899-12-30T00:00:00"/>
    <d v="1899-12-30T00:09:00"/>
    <s v="F"/>
    <d v="1899-12-30T00:00:00"/>
    <d v="1899-12-30T00:08:00"/>
    <d v="1899-12-30T00:06:00"/>
    <d v="1899-12-30T00:12:00"/>
    <d v="1899-12-30T00:00:00"/>
    <d v="1899-12-30T00:12:00"/>
    <d v="1899-12-30T00:18:00"/>
    <d v="1899-12-30T00:14:00"/>
    <d v="1899-12-30T00:12:00"/>
    <d v="1899-12-30T00:00:00"/>
    <d v="1899-12-30T00:00:00"/>
    <d v="1899-12-30T00:00:00"/>
    <d v="1899-12-30T00:00:00"/>
    <d v="1899-12-30T00:19:00"/>
    <d v="1899-12-30T00:23:00"/>
    <d v="1899-12-30T00:17:00"/>
    <d v="1899-12-30T00:00:00"/>
    <d v="1899-12-30T00:00:00"/>
    <d v="1899-12-30T00:00:00"/>
    <d v="1899-12-30T00:07:00"/>
    <d v="1899-12-30T00:20:00"/>
    <d v="1899-12-30T00:12:00"/>
    <d v="1899-12-30T00:26:00"/>
    <d v="1899-12-30T00:00:00"/>
    <d v="1899-12-30T00:16:00"/>
    <m/>
    <x v="0"/>
    <n v="31"/>
    <d v="1899-12-30T00:10:00"/>
    <n v="13"/>
    <n v="0.41935483870967744"/>
    <n v="1"/>
    <x v="0"/>
    <x v="23"/>
  </r>
  <r>
    <s v="00038"/>
    <s v="MAYTA HUANCA, LUZ GABY"/>
    <s v="73655629"/>
    <s v="F"/>
    <s v="F"/>
    <s v="F"/>
    <d v="1899-12-30T00:00:00"/>
    <s v="F"/>
    <s v="F"/>
    <d v="1899-12-30T00:00:00"/>
    <s v="F"/>
    <s v="F"/>
    <s v="F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x v="0"/>
    <n v="31"/>
    <d v="1899-12-30T00:10:00"/>
    <n v="0"/>
    <n v="0"/>
    <n v="8"/>
    <x v="1"/>
    <x v="24"/>
  </r>
  <r>
    <s v="00039"/>
    <s v="ALVAREZ MINAYA, BRIGHITTE SONIA"/>
    <s v="74071396"/>
    <d v="1899-12-30T00:17:00"/>
    <d v="1899-12-30T00:16:00"/>
    <d v="1899-12-30T00:00:00"/>
    <d v="1899-12-30T00:00:00"/>
    <d v="1899-12-30T00:03:00"/>
    <s v="F"/>
    <d v="1899-12-30T00:00:00"/>
    <d v="1899-12-30T00:14:00"/>
    <d v="1899-12-30T00:48:00"/>
    <s v="F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x v="0"/>
    <n v="31"/>
    <d v="1899-12-30T00:10:00"/>
    <n v="4"/>
    <n v="0.12903225806451613"/>
    <n v="2"/>
    <x v="1"/>
    <x v="25"/>
  </r>
  <r>
    <s v="00040"/>
    <s v="MERMA CHILA, MANUEL ENRIQUE"/>
    <s v="75925906"/>
    <d v="1899-12-30T00:00:00"/>
    <d v="1899-12-30T00:00:00"/>
    <d v="1899-12-30T00:00:00"/>
    <d v="1899-12-30T00:00:00"/>
    <d v="1899-12-30T00:00:00"/>
    <d v="1899-12-30T00:00:00"/>
    <d v="1899-12-30T00:00:00"/>
    <s v=" 5:04"/>
    <d v="1899-12-30T00:00:00"/>
    <d v="1899-12-30T00:00:00"/>
    <d v="1899-12-30T00:00:00"/>
    <d v="1899-12-30T00:02:00"/>
    <d v="1899-12-30T00:00:00"/>
    <d v="1899-12-30T00:01:00"/>
    <d v="1899-12-30T00:00:00"/>
    <d v="1899-12-30T00:00:00"/>
    <d v="1899-12-30T00:00:00"/>
    <d v="1899-12-30T00:00:00"/>
    <d v="1899-12-30T00:00:00"/>
    <d v="1899-12-30T00:00:00"/>
    <d v="1899-12-30T00:00:00"/>
    <d v="1899-12-30T00:09:00"/>
    <d v="1899-12-30T00:00:00"/>
    <d v="1899-12-30T00:00:00"/>
    <d v="1899-12-30T00:00:00"/>
    <d v="1899-12-30T00:00:00"/>
    <d v="1899-12-30T00:09:00"/>
    <d v="1899-12-30T00:00:00"/>
    <d v="1899-12-30T00:00:00"/>
    <d v="1899-12-30T00:00:00"/>
    <d v="1899-12-30T00:00:00"/>
    <m/>
    <x v="0"/>
    <n v="31"/>
    <d v="1899-12-30T00:10:00"/>
    <n v="0"/>
    <n v="0"/>
    <n v="0"/>
    <x v="0"/>
    <x v="26"/>
  </r>
  <r>
    <s v="00041"/>
    <s v="SANCHEZ PANAIFO, GRECIA DANNAE"/>
    <s v="48420673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s v="F"/>
    <s v="F"/>
    <d v="1899-12-30T00:00:00"/>
    <d v="1899-12-30T00:00:00"/>
    <d v="1899-12-30T00:00:00"/>
    <s v="F"/>
    <s v="F"/>
    <s v="F"/>
    <s v="F"/>
    <s v="F"/>
    <d v="1899-12-30T00:00:00"/>
    <s v="F"/>
    <s v="F"/>
    <d v="1899-12-30T00:00:00"/>
    <d v="1899-12-30T00:00:00"/>
    <d v="1899-12-30T00:06:00"/>
    <d v="1899-12-30T00:14:00"/>
    <m/>
    <x v="0"/>
    <n v="31"/>
    <d v="1899-12-30T00:10:00"/>
    <n v="1"/>
    <n v="3.2258064516129031E-2"/>
    <n v="9"/>
    <x v="0"/>
    <x v="27"/>
  </r>
  <r>
    <s v="00042"/>
    <s v="CHAVEZ GUILLEN, DIANA CAROLINA"/>
    <s v="71007128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s v=" 4:07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01:00"/>
    <m/>
    <x v="0"/>
    <n v="31"/>
    <d v="1899-12-30T00:10:00"/>
    <n v="0"/>
    <n v="0"/>
    <n v="0"/>
    <x v="1"/>
    <x v="28"/>
  </r>
  <r>
    <s v="00043"/>
    <s v="URDAY CHOQUE, JONATHAN EDGARD"/>
    <s v="71432329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1:00"/>
    <m/>
    <x v="0"/>
    <n v="31"/>
    <d v="1899-12-30T00:10:00"/>
    <n v="0"/>
    <n v="0"/>
    <n v="0"/>
    <x v="0"/>
    <x v="29"/>
  </r>
  <r>
    <s v="00044"/>
    <s v="PEREZ VERA, MARLENE BETTY"/>
    <s v="72092638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s v=" 4:07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x v="0"/>
    <n v="31"/>
    <d v="1899-12-30T00:10:00"/>
    <n v="0"/>
    <n v="0"/>
    <n v="0"/>
    <x v="1"/>
    <x v="30"/>
  </r>
  <r>
    <s v="00045"/>
    <s v="ALARCON MONTALVAN, YAEL ASHLEY"/>
    <s v="73354131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s v="F"/>
    <s v="F"/>
    <s v="F"/>
    <d v="1899-12-30T00:00:00"/>
    <s v="F"/>
    <s v="F"/>
    <d v="1899-12-30T00:00:00"/>
    <d v="1899-12-30T00:00:00"/>
    <d v="1899-12-30T00:23:00"/>
    <d v="1899-12-30T00:00:00"/>
    <m/>
    <x v="0"/>
    <n v="31"/>
    <d v="1899-12-30T00:10:00"/>
    <n v="1"/>
    <n v="3.2258064516129031E-2"/>
    <n v="5"/>
    <x v="1"/>
    <x v="31"/>
  </r>
  <r>
    <s v="00001"/>
    <s v="CACERES CORDOVA, ROCIO SANDRA"/>
    <s v="48429690"/>
    <d v="1899-12-30T00:00:00"/>
    <d v="1899-12-30T00:22:00"/>
    <d v="1899-12-30T00:19:00"/>
    <d v="1899-12-30T00:37:00"/>
    <d v="1899-12-30T00:14:00"/>
    <d v="1899-12-30T00:17:00"/>
    <d v="1899-12-30T00:00:00"/>
    <d v="1899-12-30T00:00:00"/>
    <d v="1899-12-30T00:14:00"/>
    <d v="1899-12-30T00:19:00"/>
    <d v="1899-12-30T00:34:00"/>
    <d v="1899-12-30T00:07:00"/>
    <d v="1899-12-30T00:28:00"/>
    <d v="1899-12-30T00:00:00"/>
    <d v="1899-12-30T00:00:00"/>
    <d v="1899-12-30T00:27:00"/>
    <d v="1899-12-30T00:21:00"/>
    <d v="1899-12-30T00:19:00"/>
    <d v="1899-12-30T00:31:00"/>
    <d v="1899-12-30T00:25:00"/>
    <d v="1899-12-30T00:00:00"/>
    <d v="1899-12-30T00:00:00"/>
    <d v="1899-12-30T00:12:00"/>
    <d v="1899-12-30T00:25:00"/>
    <d v="1899-12-30T00:10:00"/>
    <d v="1899-12-30T00:28:00"/>
    <s v="F"/>
    <d v="1899-12-30T00:09:00"/>
    <d v="1899-12-30T00:00:00"/>
    <d v="1899-12-30T00:40:00"/>
    <d v="1899-12-30T00:27:00"/>
    <m/>
    <x v="1"/>
    <n v="31"/>
    <d v="1899-12-30T00:10:00"/>
    <n v="19"/>
    <n v="0.61290322580645162"/>
    <n v="1"/>
    <x v="0"/>
    <x v="0"/>
  </r>
  <r>
    <s v="00003"/>
    <s v="LLANOS YAURI, LOURDES LUCIA"/>
    <s v="10602846"/>
    <d v="1899-12-30T00:00:00"/>
    <d v="1899-12-30T00:28:00"/>
    <d v="1899-12-30T00:15:00"/>
    <d v="1899-12-30T00:25:00"/>
    <d v="1899-12-30T00:36:00"/>
    <d v="1899-12-30T00:28:00"/>
    <d v="1899-12-30T00:30:00"/>
    <d v="1899-12-30T00:00:00"/>
    <d v="1899-12-30T00:48:00"/>
    <d v="1899-12-30T00:43:00"/>
    <d v="1899-12-30T00:37:00"/>
    <d v="1899-12-30T00:22:00"/>
    <d v="1899-12-30T00:33:00"/>
    <d v="1899-12-30T00:44:00"/>
    <d v="1899-12-30T00:00:00"/>
    <d v="1899-12-30T00:54:00"/>
    <d v="1899-12-30T00:33:00"/>
    <d v="1899-12-30T00:30:00"/>
    <d v="1899-12-30T00:39:00"/>
    <s v=" 1:15"/>
    <d v="1899-12-30T00:27:00"/>
    <d v="1899-12-30T00:00:00"/>
    <d v="1899-12-30T00:00:00"/>
    <d v="1899-12-30T00:16:00"/>
    <d v="1899-12-30T00:37:00"/>
    <d v="1899-12-30T00:02:00"/>
    <d v="1899-12-30T00:17:00"/>
    <d v="1899-12-30T00:00:00"/>
    <d v="1899-12-30T00:00:00"/>
    <d v="1899-12-30T00:24:00"/>
    <d v="1899-12-30T00:33:00"/>
    <m/>
    <x v="1"/>
    <n v="31"/>
    <d v="1899-12-30T00:10:00"/>
    <n v="22"/>
    <n v="0.70967741935483875"/>
    <n v="0"/>
    <x v="0"/>
    <x v="1"/>
  </r>
  <r>
    <s v="00004"/>
    <s v="TICLLA RAMOS, MARIELLA"/>
    <s v="72262268"/>
    <d v="1899-12-30T00:00:00"/>
    <d v="1899-12-30T00:39:00"/>
    <d v="1899-12-30T00:00:00"/>
    <d v="1899-12-30T00:15:00"/>
    <d v="1899-12-30T00:00:00"/>
    <d v="1899-12-30T00:27:00"/>
    <d v="1899-12-30T00:05:00"/>
    <d v="1899-12-30T00:00:00"/>
    <d v="1899-12-30T00:19:00"/>
    <d v="1899-12-30T00:34:00"/>
    <d v="1899-12-30T00:12:00"/>
    <d v="1899-12-30T00:31:00"/>
    <d v="1899-12-30T00:26:00"/>
    <d v="1899-12-30T00:10:00"/>
    <d v="1899-12-30T00:00:00"/>
    <d v="1899-12-30T00:14:00"/>
    <d v="1899-12-30T00:24:00"/>
    <d v="1899-12-30T00:18:00"/>
    <d v="1899-12-30T00:21:00"/>
    <d v="1899-12-30T00:27:00"/>
    <d v="1899-12-30T00:11:00"/>
    <d v="1899-12-30T00:00:00"/>
    <d v="1899-12-30T00:00:00"/>
    <d v="1899-12-30T00:04:00"/>
    <d v="1899-12-30T00:29:00"/>
    <d v="1899-12-30T00:02:00"/>
    <d v="1899-12-30T00:11:00"/>
    <d v="1899-12-30T00:19:00"/>
    <d v="1899-12-30T00:00:00"/>
    <d v="1899-12-30T00:10:00"/>
    <d v="1899-12-30T00:24:00"/>
    <m/>
    <x v="1"/>
    <n v="31"/>
    <d v="1899-12-30T00:10:00"/>
    <n v="18"/>
    <n v="0.58064516129032262"/>
    <n v="0"/>
    <x v="0"/>
    <x v="2"/>
  </r>
  <r>
    <s v="00006"/>
    <s v="PARIONA ROSAS, RICHARD"/>
    <s v="71001774"/>
    <d v="1899-12-30T00:00:00"/>
    <d v="1899-12-30T00:00:00"/>
    <d v="1899-12-30T00:00:00"/>
    <d v="1899-12-30T00:11:00"/>
    <d v="1899-12-30T00:12:00"/>
    <d v="1899-12-30T00:03:00"/>
    <d v="1899-12-30T00:09:00"/>
    <d v="1899-12-30T00:00:00"/>
    <d v="1899-12-30T00:07:00"/>
    <d v="1899-12-30T00:18:00"/>
    <d v="1899-12-30T00:10:00"/>
    <d v="1899-12-30T00:41:00"/>
    <d v="1899-12-30T00:05:00"/>
    <d v="1899-12-30T00:11:00"/>
    <d v="1899-12-30T00:00:00"/>
    <d v="1899-12-30T00:02:00"/>
    <d v="1899-12-30T00:18:00"/>
    <d v="1899-12-30T00:08:00"/>
    <d v="1899-12-30T00:05:00"/>
    <d v="1899-12-30T00:00:00"/>
    <d v="1899-12-30T00:02:00"/>
    <d v="1899-12-30T00:00:00"/>
    <d v="1899-12-30T00:03:00"/>
    <d v="1899-12-30T00:02:00"/>
    <d v="1899-12-30T00:01:00"/>
    <d v="1899-12-30T00:09:00"/>
    <d v="1899-12-30T00:00:00"/>
    <d v="1899-12-30T00:54:00"/>
    <d v="1899-12-30T00:00:00"/>
    <d v="1899-12-30T00:04:00"/>
    <d v="1899-12-30T00:02:00"/>
    <m/>
    <x v="1"/>
    <n v="31"/>
    <d v="1899-12-30T00:10:00"/>
    <n v="7"/>
    <n v="0.22580645161290322"/>
    <n v="0"/>
    <x v="0"/>
    <x v="3"/>
  </r>
  <r>
    <s v="00007"/>
    <s v="GALINDO MERA, YAHAIRA LUZMILA"/>
    <s v="70655433"/>
    <d v="1899-12-30T00:00:00"/>
    <d v="1899-12-30T00:18:00"/>
    <d v="1899-12-30T00:29:00"/>
    <d v="1899-12-30T00:24:00"/>
    <d v="1899-12-30T00:20:00"/>
    <d v="1899-12-30T00:02:00"/>
    <d v="1899-12-30T00:14:00"/>
    <d v="1899-12-30T00:00:00"/>
    <d v="1899-12-30T00:00:00"/>
    <d v="1899-12-30T00:14:00"/>
    <d v="1899-12-30T00:21:00"/>
    <d v="1899-12-30T00:22:00"/>
    <d v="1899-12-30T00:26:00"/>
    <d v="1899-12-30T00:14:00"/>
    <d v="1899-12-30T00:00:00"/>
    <d v="1899-12-30T00:00:00"/>
    <d v="1899-12-30T00:23:00"/>
    <d v="1899-12-30T00:47:00"/>
    <d v="1899-12-30T00:58:00"/>
    <d v="1899-12-30T00:07:00"/>
    <d v="1899-12-30T00:26:00"/>
    <d v="1899-12-30T00:00:00"/>
    <d v="1899-12-30T00:22:00"/>
    <d v="1899-12-30T00:28:00"/>
    <d v="1899-12-30T00:43:00"/>
    <d v="1899-12-30T00:17:00"/>
    <d v="1899-12-30T00:11:00"/>
    <d v="1899-12-30T00:14:00"/>
    <d v="1899-12-30T00:00:00"/>
    <d v="1899-12-30T00:17:00"/>
    <d v="1899-12-30T00:56:00"/>
    <m/>
    <x v="1"/>
    <n v="31"/>
    <d v="1899-12-30T00:10:00"/>
    <n v="22"/>
    <n v="0.70967741935483875"/>
    <n v="0"/>
    <x v="1"/>
    <x v="4"/>
  </r>
  <r>
    <s v="00008"/>
    <s v="LLANOS ANTAURCO, STEPHEN BORIS"/>
    <s v="46183969"/>
    <d v="1899-12-30T00:00:00"/>
    <d v="1899-12-30T00:00:00"/>
    <d v="1899-12-30T00:00:00"/>
    <d v="1899-12-30T00:21:00"/>
    <d v="1899-12-30T00:09:00"/>
    <d v="1899-12-30T00:15:00"/>
    <d v="1899-12-30T00:05:00"/>
    <d v="1899-12-30T00:00:00"/>
    <d v="1899-12-30T00:00:00"/>
    <d v="1899-12-30T00:11:00"/>
    <d v="1899-12-30T00:08:00"/>
    <d v="1899-12-30T00:00:00"/>
    <d v="1899-12-30T00:09:00"/>
    <d v="1899-12-30T00:14:00"/>
    <d v="1899-12-30T00:00:00"/>
    <s v=" 5:06"/>
    <d v="1899-12-30T00:00:00"/>
    <d v="1899-12-30T00:03:00"/>
    <d v="1899-12-30T00:04:00"/>
    <d v="1899-12-30T00:12:00"/>
    <d v="1899-12-30T00:00:00"/>
    <d v="1899-12-30T00:00:00"/>
    <d v="1899-12-30T00:00:00"/>
    <d v="1899-12-30T00:22:00"/>
    <d v="1899-12-30T00:07:00"/>
    <d v="1899-12-30T00:00:00"/>
    <d v="1899-12-30T00:00:00"/>
    <d v="1899-12-30T00:00:00"/>
    <d v="1899-12-30T00:00:00"/>
    <d v="1899-12-30T00:00:00"/>
    <d v="1899-12-30T00:02:00"/>
    <m/>
    <x v="1"/>
    <n v="31"/>
    <d v="1899-12-30T00:10:00"/>
    <n v="6"/>
    <n v="0.19354838709677419"/>
    <n v="0"/>
    <x v="0"/>
    <x v="5"/>
  </r>
  <r>
    <s v="00010"/>
    <s v="CCAMA ARONI, LUZ MIRELLA"/>
    <s v="76575233"/>
    <d v="1899-12-30T00:00:00"/>
    <d v="1899-12-30T00:23:00"/>
    <d v="1899-12-30T00:27:00"/>
    <d v="1899-12-30T00:28:00"/>
    <d v="1899-12-30T00:18:00"/>
    <d v="1899-12-30T00:31:00"/>
    <d v="1899-12-30T00:12:00"/>
    <d v="1899-12-30T00:00:00"/>
    <d v="1899-12-30T00:41:00"/>
    <d v="1899-12-30T00:13:00"/>
    <d v="1899-12-30T00:30:00"/>
    <d v="1899-12-30T00:19:00"/>
    <d v="1899-12-30T00:28:00"/>
    <d v="1899-12-30T00:33:00"/>
    <d v="1899-12-30T00:00:00"/>
    <d v="1899-12-30T00:04:00"/>
    <d v="1899-12-30T00:33:00"/>
    <d v="1899-12-30T00:42:00"/>
    <d v="1899-12-30T00:31:00"/>
    <d v="1899-12-30T00:30:00"/>
    <d v="1899-12-30T00:42:00"/>
    <d v="1899-12-30T00:00:00"/>
    <d v="1899-12-30T00:30:00"/>
    <d v="1899-12-30T00:19:00"/>
    <d v="1899-12-30T00:36:00"/>
    <d v="1899-12-30T00:24:00"/>
    <d v="1899-12-30T00:24:00"/>
    <d v="1899-12-30T00:30:00"/>
    <d v="1899-12-30T00:00:00"/>
    <d v="1899-12-30T00:30:00"/>
    <d v="1899-12-30T00:39:00"/>
    <m/>
    <x v="1"/>
    <n v="31"/>
    <d v="1899-12-30T00:10:00"/>
    <n v="25"/>
    <n v="0.80645161290322576"/>
    <n v="0"/>
    <x v="0"/>
    <x v="6"/>
  </r>
  <r>
    <s v="00013"/>
    <s v="CAYCHO HUANCA, ANDREA ALESSANDRA"/>
    <s v="76227067"/>
    <d v="1899-12-30T00:00:00"/>
    <d v="1899-12-30T00:27:00"/>
    <d v="1899-12-30T00:03:00"/>
    <d v="1899-12-30T00:30:00"/>
    <d v="1899-12-30T00:24:00"/>
    <d v="1899-12-30T00:45:00"/>
    <d v="1899-12-30T00:21:00"/>
    <d v="1899-12-30T00:00:00"/>
    <d v="1899-12-30T00:19:00"/>
    <d v="1899-12-30T00:29:00"/>
    <d v="1899-12-30T00:20:00"/>
    <d v="1899-12-30T00:37:00"/>
    <d v="1899-12-30T00:15:00"/>
    <d v="1899-12-30T00:21:00"/>
    <d v="1899-12-30T00:00:00"/>
    <d v="1899-12-30T00:15:00"/>
    <d v="1899-12-30T00:30:00"/>
    <d v="1899-12-30T00:30:00"/>
    <d v="1899-12-30T00:23:00"/>
    <d v="1899-12-30T00:43:00"/>
    <d v="1899-12-30T00:20:00"/>
    <d v="1899-12-30T00:00:00"/>
    <d v="1899-12-30T00:15:00"/>
    <d v="1899-12-30T00:21:00"/>
    <d v="1899-12-30T00:33:00"/>
    <d v="1899-12-30T00:30:00"/>
    <d v="1899-12-30T00:10:00"/>
    <d v="1899-12-30T00:14:00"/>
    <d v="1899-12-30T00:00:00"/>
    <d v="1899-12-30T00:24:00"/>
    <d v="1899-12-30T00:30:00"/>
    <m/>
    <x v="1"/>
    <n v="31"/>
    <d v="1899-12-30T00:10:00"/>
    <n v="24"/>
    <n v="0.77419354838709675"/>
    <n v="0"/>
    <x v="1"/>
    <x v="7"/>
  </r>
  <r>
    <s v="00014"/>
    <s v="PAREDES GUILLEN, ROCIO NOEMI"/>
    <s v="09930677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5:00"/>
    <d v="1899-12-30T00:08:00"/>
    <d v="1899-12-30T00:00:00"/>
    <d v="1899-12-30T00:00:00"/>
    <d v="1899-12-30T00:00:00"/>
    <d v="1899-12-30T00:00:00"/>
    <s v="F"/>
    <s v="F"/>
    <d v="1899-12-30T00:00:00"/>
    <d v="1899-12-30T00:00:00"/>
    <s v="F"/>
    <d v="1899-12-30T00:00:00"/>
    <d v="1899-12-30T00:00:00"/>
    <d v="1899-12-30T00:00:00"/>
    <d v="1899-12-30T00:00:00"/>
    <m/>
    <x v="1"/>
    <n v="31"/>
    <d v="1899-12-30T00:10:00"/>
    <n v="0"/>
    <n v="0"/>
    <n v="3"/>
    <x v="1"/>
    <x v="8"/>
  </r>
  <r>
    <s v="00016"/>
    <s v="GUEVARA ENRIQUEZ, ROGELIO"/>
    <s v="70237404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00:00"/>
    <d v="1899-12-30T00:00:00"/>
    <d v="1899-12-30T00:00:00"/>
    <d v="1899-12-30T00:00:00"/>
    <d v="1899-12-30T00:00:00"/>
    <d v="1899-12-30T00:00:00"/>
    <d v="1899-12-30T00:01:00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13:00"/>
    <d v="1899-12-30T00:00:00"/>
    <m/>
    <x v="1"/>
    <n v="31"/>
    <d v="1899-12-30T00:10:00"/>
    <n v="1"/>
    <n v="3.2258064516129031E-2"/>
    <n v="0"/>
    <x v="1"/>
    <x v="9"/>
  </r>
  <r>
    <s v="00017"/>
    <s v="ASIAN RAMIREZ, SILVIA LARITZA"/>
    <s v="70098369"/>
    <d v="1899-12-30T00:00:00"/>
    <d v="1899-12-30T00:19:00"/>
    <d v="1899-12-30T00:00:00"/>
    <d v="1899-12-30T00:00:00"/>
    <d v="1899-12-30T00:14:00"/>
    <d v="1899-12-30T00:00:00"/>
    <d v="1899-12-30T00:12:00"/>
    <d v="1899-12-30T00:00:00"/>
    <d v="1899-12-30T00:33:00"/>
    <d v="1899-12-30T00:13:00"/>
    <d v="1899-12-30T00:21:00"/>
    <d v="1899-12-30T00:55:00"/>
    <s v=" 1:31"/>
    <d v="1899-12-30T00:09:00"/>
    <d v="1899-12-30T00:00:00"/>
    <s v=" 1:00"/>
    <d v="1899-12-30T00:29:00"/>
    <d v="1899-12-30T00:09:00"/>
    <d v="1899-12-30T00:35:00"/>
    <d v="1899-12-30T00:44:00"/>
    <d v="1899-12-30T00:07:00"/>
    <d v="1899-12-30T00:00:00"/>
    <d v="1899-12-30T00:07:00"/>
    <d v="1899-12-30T00:41:00"/>
    <d v="1899-12-30T00:45:00"/>
    <d v="1899-12-30T00:33:00"/>
    <d v="1899-12-30T00:34:00"/>
    <d v="1899-12-30T00:28:00"/>
    <d v="1899-12-30T00:00:00"/>
    <d v="1899-12-30T00:37:00"/>
    <d v="1899-12-30T00:24:00"/>
    <m/>
    <x v="1"/>
    <n v="31"/>
    <d v="1899-12-30T00:10:00"/>
    <n v="17"/>
    <n v="0.54838709677419351"/>
    <n v="0"/>
    <x v="1"/>
    <x v="10"/>
  </r>
  <r>
    <s v="00021"/>
    <s v="PRETELL PINTADO, ANGELICA DIANA"/>
    <s v="72648191"/>
    <d v="1899-12-30T00:00:00"/>
    <d v="1899-12-30T00:26:00"/>
    <d v="1899-12-30T00:22:00"/>
    <d v="1899-12-30T00:40:00"/>
    <d v="1899-12-30T00:22:00"/>
    <d v="1899-12-30T00:37:00"/>
    <d v="1899-12-30T00:20:00"/>
    <d v="1899-12-30T00:00:00"/>
    <d v="1899-12-30T00:24:00"/>
    <d v="1899-12-30T00:33:00"/>
    <d v="1899-12-30T00:41:00"/>
    <d v="1899-12-30T00:00:00"/>
    <d v="1899-12-30T00:18:00"/>
    <d v="1899-12-30T00:21:00"/>
    <d v="1899-12-30T00:00:00"/>
    <d v="1899-12-30T00:28:00"/>
    <d v="1899-12-30T00:30:00"/>
    <d v="1899-12-30T00:20:00"/>
    <d v="1899-12-30T00:23:00"/>
    <d v="1899-12-30T00:28:00"/>
    <d v="1899-12-30T00:23:00"/>
    <d v="1899-12-30T00:00:00"/>
    <d v="1899-12-30T00:30:00"/>
    <d v="1899-12-30T00:28:00"/>
    <d v="1899-12-30T00:24:00"/>
    <d v="1899-12-30T00:28:00"/>
    <d v="1899-12-30T00:34:00"/>
    <d v="1899-12-30T00:16:00"/>
    <d v="1899-12-30T00:00:00"/>
    <d v="1899-12-30T00:00:00"/>
    <d v="1899-12-30T00:36:00"/>
    <m/>
    <x v="1"/>
    <n v="31"/>
    <d v="1899-12-30T00:10:00"/>
    <n v="24"/>
    <n v="0.77419354838709675"/>
    <n v="0"/>
    <x v="1"/>
    <x v="11"/>
  </r>
  <r>
    <s v="00022"/>
    <s v="TENORIO FELIX, SAMANTHA NICOLLE"/>
    <s v="72925189"/>
    <d v="1899-12-30T00:00:00"/>
    <d v="1899-12-30T00:35:00"/>
    <s v="F"/>
    <s v="F"/>
    <s v="F"/>
    <s v="F"/>
    <d v="1899-12-30T00:00:00"/>
    <d v="1899-12-30T00:00:00"/>
    <d v="1899-12-30T00:22:00"/>
    <d v="1899-12-30T00:28:00"/>
    <s v=" 1:04"/>
    <d v="1899-12-30T00:00:00"/>
    <d v="1899-12-30T00:28:00"/>
    <d v="1899-12-30T00:10:00"/>
    <d v="1899-12-30T00:00:00"/>
    <d v="1899-12-30T00:00:00"/>
    <d v="1899-12-30T00:43:00"/>
    <d v="1899-12-30T00:13:00"/>
    <d v="1899-12-30T00:35:00"/>
    <d v="1899-12-30T00:05:00"/>
    <d v="1899-12-30T00:00:00"/>
    <d v="1899-12-30T00:00:00"/>
    <d v="1899-12-30T00:15:00"/>
    <s v=" 1:10"/>
    <s v="F"/>
    <s v="F"/>
    <s v="F"/>
    <s v="F"/>
    <d v="1899-12-30T00:00:00"/>
    <s v="F"/>
    <s v="F"/>
    <m/>
    <x v="1"/>
    <n v="31"/>
    <d v="1899-12-30T00:10:00"/>
    <n v="8"/>
    <n v="0.25806451612903225"/>
    <n v="10"/>
    <x v="1"/>
    <x v="12"/>
  </r>
  <r>
    <s v="00023"/>
    <s v="LOPEZ FARIAS, CARLOS JOAQUIN"/>
    <s v="73619936"/>
    <d v="1899-12-30T00:00:00"/>
    <d v="1899-12-30T00:06:00"/>
    <d v="1899-12-30T00:00:00"/>
    <d v="1899-12-30T00:37:00"/>
    <s v=" 1:01"/>
    <d v="1899-12-30T00:00:00"/>
    <d v="1899-12-30T00:16:00"/>
    <d v="1899-12-30T00:00:00"/>
    <d v="1899-12-30T00:33:00"/>
    <d v="1899-12-30T00:00:00"/>
    <d v="1899-12-30T00:13:00"/>
    <s v=" 1:00"/>
    <d v="1899-12-30T00:12:00"/>
    <d v="1899-12-30T00:15:00"/>
    <d v="1899-12-30T00:00:00"/>
    <d v="1899-12-30T00:05:00"/>
    <d v="1899-12-30T00:00:00"/>
    <d v="1899-12-30T00:04:00"/>
    <d v="1899-12-30T00:00:00"/>
    <d v="1899-12-30T00:06:00"/>
    <d v="1899-12-30T00:15:00"/>
    <d v="1899-12-30T00:00:00"/>
    <d v="1899-12-30T00:00:00"/>
    <d v="1899-12-30T00:16:00"/>
    <d v="1899-12-30T00:07:00"/>
    <d v="1899-12-30T00:15:00"/>
    <d v="1899-12-30T00:03:00"/>
    <d v="1899-12-30T00:00:00"/>
    <d v="1899-12-30T00:00:00"/>
    <d v="1899-12-30T00:23:00"/>
    <d v="1899-12-30T00:39:00"/>
    <m/>
    <x v="1"/>
    <n v="31"/>
    <d v="1899-12-30T00:10:00"/>
    <n v="11"/>
    <n v="0.35483870967741937"/>
    <n v="0"/>
    <x v="0"/>
    <x v="13"/>
  </r>
  <r>
    <s v="00024"/>
    <s v="LOPEZ CRUZ, JEFFERSON NORMAN"/>
    <s v="72754919"/>
    <d v="1899-12-30T00:00:00"/>
    <s v=" 1:47"/>
    <d v="1899-12-30T00:03:00"/>
    <d v="1899-12-30T00:22:00"/>
    <d v="1899-12-30T00:09:00"/>
    <d v="1899-12-30T00:45:00"/>
    <d v="1899-12-30T00:57:00"/>
    <d v="1899-12-30T00:00:00"/>
    <d v="1899-12-30T00:07:00"/>
    <d v="1899-12-30T00:30:00"/>
    <d v="1899-12-30T00:16:00"/>
    <d v="1899-12-30T00:37:00"/>
    <d v="1899-12-30T00:34:00"/>
    <d v="1899-12-30T00:21:00"/>
    <d v="1899-12-30T00:00:00"/>
    <d v="1899-12-30T00:07:00"/>
    <d v="1899-12-30T00:26:00"/>
    <d v="1899-12-30T00:36:00"/>
    <d v="1899-12-30T00:36:00"/>
    <d v="1899-12-30T00:46:00"/>
    <d v="1899-12-30T00:44:00"/>
    <d v="1899-12-30T00:00:00"/>
    <d v="1899-12-30T00:16:00"/>
    <s v="F"/>
    <s v="F"/>
    <s v="F"/>
    <s v="F"/>
    <s v="F"/>
    <d v="1899-12-30T00:00:00"/>
    <s v="F"/>
    <s v="F"/>
    <m/>
    <x v="1"/>
    <n v="31"/>
    <d v="1899-12-30T00:10:00"/>
    <n v="14"/>
    <n v="0.45161290322580644"/>
    <n v="7"/>
    <x v="1"/>
    <x v="14"/>
  </r>
  <r>
    <s v="00025"/>
    <s v="CRUZ TAIPE, RONY WALDIR"/>
    <s v="76848378"/>
    <d v="1899-12-30T00:00:00"/>
    <d v="1899-12-30T00:00:00"/>
    <d v="1899-12-30T00:00:00"/>
    <d v="1899-12-30T00:00:00"/>
    <d v="1899-12-30T00:00:00"/>
    <d v="1899-12-30T00:00:00"/>
    <d v="1899-12-30T00:14:00"/>
    <d v="1899-12-30T00:00:00"/>
    <d v="1899-12-30T00:13:00"/>
    <d v="1899-12-30T00:32:00"/>
    <d v="1899-12-30T00:09:00"/>
    <d v="1899-12-30T00:21:00"/>
    <d v="1899-12-30T00:14:00"/>
    <d v="1899-12-30T00:00:00"/>
    <d v="1899-12-30T00:00:00"/>
    <d v="1899-12-30T00:31:00"/>
    <d v="1899-12-30T00:00:00"/>
    <d v="1899-12-30T00:02:00"/>
    <d v="1899-12-30T00:03:00"/>
    <d v="1899-12-30T00:15:00"/>
    <d v="1899-12-30T00:16:00"/>
    <d v="1899-12-30T00:00:00"/>
    <d v="1899-12-30T00:01:00"/>
    <d v="1899-12-30T00:08:00"/>
    <d v="1899-12-30T00:08:00"/>
    <d v="1899-12-30T00:05:00"/>
    <d v="1899-12-30T00:16:00"/>
    <d v="1899-12-30T00:54:00"/>
    <d v="1899-12-30T00:00:00"/>
    <d v="1899-12-30T00:00:00"/>
    <d v="1899-12-30T00:02:00"/>
    <m/>
    <x v="1"/>
    <n v="31"/>
    <d v="1899-12-30T00:10:00"/>
    <n v="10"/>
    <n v="0.32258064516129031"/>
    <n v="0"/>
    <x v="0"/>
    <x v="15"/>
  </r>
  <r>
    <s v="00026"/>
    <s v="ANDRADE MERA, MARQUIÑO ANTONY"/>
    <s v="74768155"/>
    <d v="1899-12-30T00:00:00"/>
    <d v="1899-12-30T00:00:00"/>
    <d v="1899-12-30T00:15:00"/>
    <d v="1899-12-30T00:22:00"/>
    <d v="1899-12-30T00:38:00"/>
    <d v="1899-12-30T00:00:00"/>
    <d v="1899-12-30T00:22:00"/>
    <d v="1899-12-30T00:00:00"/>
    <d v="1899-12-30T00:00:00"/>
    <d v="1899-12-30T00:06:00"/>
    <d v="1899-12-30T00:00:00"/>
    <d v="1899-12-30T00:14:00"/>
    <d v="1899-12-30T00:15:00"/>
    <d v="1899-12-30T00:00:00"/>
    <d v="1899-12-30T00:00:00"/>
    <d v="1899-12-30T00:00:00"/>
    <d v="1899-12-30T00:06:00"/>
    <d v="1899-12-30T00:03:00"/>
    <d v="1899-12-30T00:09:00"/>
    <d v="1899-12-30T00:14:00"/>
    <s v="F"/>
    <d v="1899-12-30T00:00:00"/>
    <d v="1899-12-30T00:06:00"/>
    <d v="1899-12-30T00:00:00"/>
    <d v="1899-12-30T00:00:00"/>
    <d v="1899-12-30T00:00:00"/>
    <d v="1899-12-30T00:00:00"/>
    <d v="1899-12-30T00:00:00"/>
    <d v="1899-12-30T00:00:00"/>
    <d v="1899-12-30T00:12:00"/>
    <d v="1899-12-30T00:00:00"/>
    <m/>
    <x v="1"/>
    <n v="31"/>
    <d v="1899-12-30T00:10:00"/>
    <n v="8"/>
    <n v="0.25806451612903225"/>
    <n v="1"/>
    <x v="1"/>
    <x v="16"/>
  </r>
  <r>
    <s v="00028"/>
    <s v="CLAROS NIETO, LITTA DANERY"/>
    <s v="47329796"/>
    <d v="1899-12-30T00:00:00"/>
    <d v="1899-12-30T00:18:00"/>
    <d v="1899-12-30T00:29:00"/>
    <d v="1899-12-30T00:00:00"/>
    <d v="1899-12-30T00:19:00"/>
    <d v="1899-12-30T00:28:00"/>
    <d v="1899-12-30T00:00:00"/>
    <d v="1899-12-30T00:00:00"/>
    <d v="1899-12-30T00:00:00"/>
    <d v="1899-12-30T00:11:00"/>
    <d v="1899-12-30T00:00:00"/>
    <d v="1899-12-30T00:35:00"/>
    <d v="1899-12-30T00:39:00"/>
    <d v="1899-12-30T00:00:00"/>
    <d v="1899-12-30T00:00:00"/>
    <d v="1899-12-30T00:00:00"/>
    <d v="1899-12-30T00:33:00"/>
    <d v="1899-12-30T00:44:00"/>
    <d v="1899-12-30T00:39:00"/>
    <d v="1899-12-30T00:43:00"/>
    <d v="1899-12-30T00:00:00"/>
    <d v="1899-12-30T00:00:00"/>
    <d v="1899-12-30T00:14:00"/>
    <d v="1899-12-30T00:00:00"/>
    <d v="1899-12-30T00:00:00"/>
    <d v="1899-12-30T00:11:00"/>
    <d v="1899-12-30T00:31:00"/>
    <d v="1899-12-30T00:00:00"/>
    <d v="1899-12-30T00:00:00"/>
    <d v="1899-12-30T00:20:00"/>
    <d v="1899-12-30T00:36:00"/>
    <m/>
    <x v="1"/>
    <n v="31"/>
    <d v="1899-12-30T00:10:00"/>
    <n v="16"/>
    <n v="0.5161290322580645"/>
    <n v="0"/>
    <x v="1"/>
    <x v="18"/>
  </r>
  <r>
    <s v="00031"/>
    <s v="ZARATE SALAZAR, JOE"/>
    <s v="10157300"/>
    <d v="1899-12-30T00:00:00"/>
    <s v="F"/>
    <s v="F"/>
    <s v="F"/>
    <s v="F"/>
    <s v="F"/>
    <s v="F"/>
    <d v="1899-12-30T00:00:00"/>
    <s v="F"/>
    <s v="F"/>
    <s v="F"/>
    <s v="F"/>
    <s v="F"/>
    <s v="F"/>
    <d v="1899-12-30T00:00:00"/>
    <s v="F"/>
    <s v="F"/>
    <s v="F"/>
    <s v="F"/>
    <s v="F"/>
    <s v="F"/>
    <d v="1899-12-30T00:00:00"/>
    <s v="F"/>
    <s v="F"/>
    <s v="F"/>
    <s v="F"/>
    <s v="F"/>
    <s v="F"/>
    <d v="1899-12-30T00:00:00"/>
    <s v="F"/>
    <s v="F"/>
    <m/>
    <x v="1"/>
    <n v="31"/>
    <d v="1899-12-30T00:10:00"/>
    <n v="0"/>
    <n v="0"/>
    <n v="26"/>
    <x v="1"/>
    <x v="32"/>
  </r>
  <r>
    <s v="00034"/>
    <s v="MEJIA TORRES, FRANCISCO JAVIER"/>
    <s v="72350882"/>
    <d v="1899-12-30T00:00:00"/>
    <d v="1899-12-30T00:06:00"/>
    <d v="1899-12-30T00:03:00"/>
    <d v="1899-12-30T00:00:00"/>
    <d v="1899-12-30T00:12:00"/>
    <d v="1899-12-30T00:00:00"/>
    <d v="1899-12-30T00:00:00"/>
    <d v="1899-12-30T00:00:00"/>
    <d v="1899-12-30T00:06:00"/>
    <d v="1899-12-30T00:01:00"/>
    <d v="1899-12-30T00:04:00"/>
    <d v="1899-12-30T00:00:00"/>
    <d v="1899-12-30T00:00:00"/>
    <d v="1899-12-30T00:00:00"/>
    <d v="1899-12-30T00:00:00"/>
    <d v="1899-12-30T00:00:00"/>
    <d v="1899-12-30T00:10:00"/>
    <d v="1899-12-30T00:07:00"/>
    <d v="1899-12-30T00:00:00"/>
    <d v="1899-12-30T00:02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x v="1"/>
    <n v="31"/>
    <d v="1899-12-30T00:10:00"/>
    <n v="1"/>
    <n v="3.2258064516129031E-2"/>
    <n v="0"/>
    <x v="0"/>
    <x v="20"/>
  </r>
  <r>
    <s v="00035"/>
    <s v="GUEVARA CABELLO, CARLOS JEANPIERRE"/>
    <s v="74026944"/>
    <d v="1899-12-30T00:00:00"/>
    <d v="1899-12-30T00:24:00"/>
    <s v=" 3:14"/>
    <d v="1899-12-30T00:17:00"/>
    <d v="1899-12-30T00:23:00"/>
    <d v="1899-12-30T00:13:00"/>
    <d v="1899-12-30T00:00:00"/>
    <d v="1899-12-30T00:00:00"/>
    <d v="1899-12-30T00:00:00"/>
    <d v="1899-12-30T00:35:00"/>
    <d v="1899-12-30T00:15:00"/>
    <d v="1899-12-30T00:00:00"/>
    <d v="1899-12-30T00:00:00"/>
    <d v="1899-12-30T00:00:00"/>
    <d v="1899-12-30T00:00:00"/>
    <d v="1899-12-30T00:00:00"/>
    <d v="1899-12-30T00:10:00"/>
    <d v="1899-12-30T00:00:00"/>
    <d v="1899-12-30T00:00:00"/>
    <d v="1899-12-30T00:10:00"/>
    <d v="1899-12-30T00:00:00"/>
    <d v="1899-12-30T00:00:00"/>
    <s v="F"/>
    <d v="1899-12-30T00:20:00"/>
    <d v="1899-12-30T00:00:00"/>
    <d v="1899-12-30T00:37:00"/>
    <d v="1899-12-30T00:00:00"/>
    <d v="1899-12-30T00:07:00"/>
    <d v="1899-12-30T00:00:00"/>
    <d v="1899-12-30T00:00:00"/>
    <s v="F"/>
    <m/>
    <x v="1"/>
    <n v="31"/>
    <d v="1899-12-30T00:10:00"/>
    <n v="8"/>
    <n v="0.25806451612903225"/>
    <n v="2"/>
    <x v="0"/>
    <x v="21"/>
  </r>
  <r>
    <s v="00036"/>
    <s v="AMES ESPINOZA, KIMBERLLY"/>
    <s v="75149675"/>
    <d v="1899-12-30T00:00:00"/>
    <d v="1899-12-30T00:12:00"/>
    <d v="1899-12-30T00:26:00"/>
    <d v="1899-12-30T00:12:00"/>
    <d v="1899-12-30T00:00:00"/>
    <d v="1899-12-30T00:39:00"/>
    <d v="1899-12-30T00:00:00"/>
    <d v="1899-12-30T00:00:00"/>
    <d v="1899-12-30T00:36:00"/>
    <d v="1899-12-30T00:17:00"/>
    <s v="F"/>
    <s v="F"/>
    <s v="F"/>
    <d v="1899-12-30T00:06:00"/>
    <d v="1899-12-30T00:00:00"/>
    <d v="1899-12-30T00:20:00"/>
    <d v="1899-12-30T00:00:00"/>
    <d v="1899-12-30T00:42:00"/>
    <d v="1899-12-30T00:40:00"/>
    <d v="1899-12-30T00:08:00"/>
    <d v="1899-12-30T00:10:00"/>
    <d v="1899-12-30T00:00:00"/>
    <d v="1899-12-30T00:21:00"/>
    <d v="1899-12-30T00:11:00"/>
    <d v="1899-12-30T00:19:00"/>
    <d v="1899-12-30T00:20:00"/>
    <d v="1899-12-30T00:32:00"/>
    <d v="1899-12-30T00:00:00"/>
    <d v="1899-12-30T00:00:00"/>
    <d v="1899-12-30T00:00:00"/>
    <d v="1899-12-30T00:29:00"/>
    <m/>
    <x v="1"/>
    <n v="31"/>
    <d v="1899-12-30T00:10:00"/>
    <n v="15"/>
    <n v="0.4838709677419355"/>
    <n v="3"/>
    <x v="0"/>
    <x v="22"/>
  </r>
  <r>
    <s v="00037"/>
    <s v="ALVARADO ECHAIZ, LILIANA"/>
    <s v="15739413"/>
    <d v="1899-12-30T00:00:00"/>
    <d v="1899-12-30T00:16:00"/>
    <d v="1899-12-30T00:29:00"/>
    <d v="1899-12-30T00:16:00"/>
    <d v="1899-12-30T00:27:00"/>
    <d v="1899-12-30T00:27:00"/>
    <d v="1899-12-30T00:17:00"/>
    <d v="1899-12-30T00:00:00"/>
    <d v="1899-12-30T00:35:00"/>
    <d v="1899-12-30T00:00:00"/>
    <d v="1899-12-30T00:00:00"/>
    <d v="1899-12-30T00:00:00"/>
    <d v="1899-12-30T00:24:00"/>
    <d v="1899-12-30T00:17:00"/>
    <d v="1899-12-30T00:00:00"/>
    <d v="1899-12-30T00:24:00"/>
    <d v="1899-12-30T00:24:00"/>
    <d v="1899-12-30T00:00:00"/>
    <d v="1899-12-30T00:57:00"/>
    <d v="1899-12-30T00:26:00"/>
    <d v="1899-12-30T00:16:00"/>
    <d v="1899-12-30T00:00:00"/>
    <d v="1899-12-30T00:22:00"/>
    <d v="1899-12-30T00:22:00"/>
    <d v="1899-12-30T00:16:00"/>
    <d v="1899-12-30T00:20:00"/>
    <d v="1899-12-30T00:10:00"/>
    <d v="1899-12-30T00:16:00"/>
    <d v="1899-12-30T00:00:00"/>
    <d v="1899-12-30T00:13:00"/>
    <d v="1899-12-30T00:26:00"/>
    <m/>
    <x v="1"/>
    <n v="31"/>
    <d v="1899-12-30T00:10:00"/>
    <n v="21"/>
    <n v="0.67741935483870963"/>
    <n v="0"/>
    <x v="0"/>
    <x v="23"/>
  </r>
  <r>
    <s v="00040"/>
    <s v="MERMA CHILA, MANUEL ENRIQUE"/>
    <s v="75925906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6:00"/>
    <d v="1899-12-30T00:02:00"/>
    <d v="1899-12-30T00:00:00"/>
    <d v="1899-12-30T00:00:00"/>
    <d v="1899-12-30T00:00:00"/>
    <d v="1899-12-30T00:04:00"/>
    <d v="1899-12-30T00:01:00"/>
    <d v="1899-12-30T00:04:00"/>
    <d v="1899-12-30T00:00:00"/>
    <d v="1899-12-30T00:00:00"/>
    <d v="1899-12-30T00:02:00"/>
    <d v="1899-12-30T00:03:00"/>
    <d v="1899-12-30T00:00:00"/>
    <d v="1899-12-30T00:05:00"/>
    <d v="1899-12-30T00:00:00"/>
    <d v="1899-12-30T00:00:00"/>
    <d v="1899-12-30T00:00:00"/>
    <d v="1899-12-30T00:00:00"/>
    <d v="1899-12-30T00:00:00"/>
    <m/>
    <x v="1"/>
    <n v="31"/>
    <d v="1899-12-30T00:10:00"/>
    <n v="0"/>
    <n v="0"/>
    <n v="0"/>
    <x v="0"/>
    <x v="26"/>
  </r>
  <r>
    <s v="00041"/>
    <s v="SANCHEZ PANAIFO, GRECIA DANNAE"/>
    <s v="48420673"/>
    <d v="1899-12-30T00:00:00"/>
    <d v="1899-12-30T00:06:00"/>
    <d v="1899-12-30T00:00:00"/>
    <d v="1899-12-30T00:06:00"/>
    <d v="1899-12-30T00:00:00"/>
    <d v="1899-12-30T00:00:00"/>
    <d v="1899-12-30T00:22:00"/>
    <d v="1899-12-30T00:00:00"/>
    <d v="1899-12-30T00:11:00"/>
    <d v="1899-12-30T00:16:00"/>
    <d v="1899-12-30T00:00:00"/>
    <d v="1899-12-30T00:22:00"/>
    <d v="1899-12-30T00:21:00"/>
    <d v="1899-12-30T00:33:00"/>
    <d v="1899-12-30T00:00:00"/>
    <d v="1899-12-30T00:00:00"/>
    <d v="1899-12-30T00:15:00"/>
    <d v="1899-12-30T00:00:00"/>
    <d v="1899-12-30T00:01:00"/>
    <d v="1899-12-30T00:02:00"/>
    <d v="1899-12-30T00:00:00"/>
    <d v="1899-12-30T00:00:00"/>
    <d v="1899-12-30T00:09:00"/>
    <d v="1899-12-30T00:28:00"/>
    <d v="1899-12-30T00:00:00"/>
    <d v="1899-12-30T00:31:00"/>
    <d v="1899-12-30T00:10:00"/>
    <d v="1899-12-30T00:10:00"/>
    <d v="1899-12-30T00:00:00"/>
    <d v="1899-12-30T00:02:00"/>
    <d v="1899-12-30T00:00:00"/>
    <m/>
    <x v="1"/>
    <n v="31"/>
    <d v="1899-12-30T00:10:00"/>
    <n v="9"/>
    <n v="0.29032258064516131"/>
    <n v="0"/>
    <x v="0"/>
    <x v="27"/>
  </r>
  <r>
    <s v="00042"/>
    <s v="CHAVEZ GUILLEN, DIANA CAROLINA"/>
    <s v="71007128"/>
    <d v="1899-12-30T00:00:00"/>
    <s v=" 4:38"/>
    <d v="1899-12-30T00:03:00"/>
    <d v="1899-12-30T00:00:00"/>
    <d v="1899-12-30T00:09:00"/>
    <d v="1899-12-30T00:00:00"/>
    <d v="1899-12-30T00:00:00"/>
    <d v="1899-12-30T00:00:00"/>
    <d v="1899-12-30T00:01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17:00"/>
    <d v="1899-12-30T00:00:00"/>
    <d v="1899-12-30T00:00:00"/>
    <d v="1899-12-30T00:00:00"/>
    <d v="1899-12-30T00:01:00"/>
    <d v="1899-12-30T00:11:00"/>
    <d v="1899-12-30T00:00:00"/>
    <d v="1899-12-30T00:00:00"/>
    <d v="1899-12-30T00:03:00"/>
    <d v="1899-12-30T00:00:00"/>
    <d v="1899-12-30T00:00:00"/>
    <d v="1899-12-30T00:00:00"/>
    <m/>
    <x v="1"/>
    <n v="31"/>
    <d v="1899-12-30T00:10:00"/>
    <n v="2"/>
    <n v="6.4516129032258063E-2"/>
    <n v="0"/>
    <x v="1"/>
    <x v="28"/>
  </r>
  <r>
    <s v="00043"/>
    <s v="URDAY CHOQUE, JONATHAN EDGARD"/>
    <s v="71432329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s v=" 3:03"/>
    <d v="1899-12-30T00:00:00"/>
    <d v="1899-12-30T00:00:00"/>
    <d v="1899-12-30T00:00:00"/>
    <d v="1899-12-30T00:38:00"/>
    <d v="1899-12-30T00:00:00"/>
    <d v="1899-12-30T00:00:00"/>
    <d v="1899-12-30T00:00:00"/>
    <d v="1899-12-30T00:00:00"/>
    <d v="1899-12-30T00:00:00"/>
    <d v="1899-12-30T00:00:00"/>
    <m/>
    <x v="1"/>
    <n v="31"/>
    <d v="1899-12-30T00:10:00"/>
    <n v="1"/>
    <n v="3.2258064516129031E-2"/>
    <n v="0"/>
    <x v="0"/>
    <x v="29"/>
  </r>
  <r>
    <s v="00044"/>
    <s v="PEREZ VERA, MARLENE BETTY"/>
    <s v="72092638"/>
    <d v="1899-12-30T00:00:00"/>
    <d v="1899-12-30T00:00:00"/>
    <d v="1899-12-30T00:00:00"/>
    <d v="1899-12-30T00:00:00"/>
    <d v="1899-12-30T00:00:00"/>
    <d v="1899-12-30T00:00:00"/>
    <d v="1899-12-30T00:03:00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00:00"/>
    <d v="1899-12-30T00:00:00"/>
    <d v="1899-12-30T00:02:00"/>
    <d v="1899-12-30T00:00:00"/>
    <d v="1899-12-30T00:06:00"/>
    <d v="1899-12-30T00:04:00"/>
    <d v="1899-12-30T00:00:00"/>
    <d v="1899-12-30T00:00:00"/>
    <d v="1899-12-30T00:00:00"/>
    <d v="1899-12-30T00:00:00"/>
    <d v="1899-12-30T00:12:00"/>
    <s v=" 2:19"/>
    <d v="1899-12-30T00:00:00"/>
    <d v="1899-12-30T00:00:00"/>
    <d v="1899-12-30T00:00:00"/>
    <d v="1899-12-30T00:00:00"/>
    <m/>
    <x v="1"/>
    <n v="31"/>
    <d v="1899-12-30T00:10:00"/>
    <n v="1"/>
    <n v="3.2258064516129031E-2"/>
    <n v="0"/>
    <x v="1"/>
    <x v="30"/>
  </r>
  <r>
    <s v="00045"/>
    <s v="ALARCON MONTALVAN, YAEL ASHLEY"/>
    <s v="73354131"/>
    <d v="1899-12-30T00:00:00"/>
    <d v="1899-12-30T00:41:00"/>
    <d v="1899-12-30T00:00:00"/>
    <d v="1899-12-30T00:00:00"/>
    <d v="1899-12-30T00:45:00"/>
    <d v="1899-12-30T00:10:00"/>
    <d v="1899-12-30T00:00:00"/>
    <d v="1899-12-30T00:00:00"/>
    <d v="1899-12-30T00:10:00"/>
    <d v="1899-12-30T00:01:00"/>
    <d v="1899-12-30T00:00:00"/>
    <d v="1899-12-30T00:33:00"/>
    <d v="1899-12-30T00:00:00"/>
    <d v="1899-12-30T00:17:00"/>
    <d v="1899-12-30T00:00:00"/>
    <d v="1899-12-30T00:03:00"/>
    <d v="1899-12-30T00:23:00"/>
    <d v="1899-12-30T00:05:00"/>
    <s v=" 1:02"/>
    <d v="1899-12-30T00:00:00"/>
    <d v="1899-12-30T00:00:00"/>
    <d v="1899-12-30T00:00:00"/>
    <d v="1899-12-30T00:20:00"/>
    <d v="1899-12-30T00:02:00"/>
    <d v="1899-12-30T00:08:00"/>
    <d v="1899-12-30T00:00:00"/>
    <d v="1899-12-30T00:08:00"/>
    <d v="1899-12-30T00:00:00"/>
    <d v="1899-12-30T00:00:00"/>
    <d v="1899-12-30T00:24:00"/>
    <d v="1899-12-30T00:36:00"/>
    <m/>
    <x v="1"/>
    <n v="31"/>
    <d v="1899-12-30T00:10:00"/>
    <n v="8"/>
    <n v="0.25806451612903225"/>
    <n v="0"/>
    <x v="1"/>
    <x v="31"/>
  </r>
  <r>
    <s v="00046"/>
    <s v="CORDOVA ZEVALLOS, JORGE ENRIQUE"/>
    <s v="74043790"/>
    <d v="1899-12-30T00:00:00"/>
    <d v="1899-12-30T00:00:00"/>
    <d v="1899-12-30T00:00:00"/>
    <d v="1899-12-30T00:00:00"/>
    <d v="1899-12-30T00:00:00"/>
    <d v="1899-12-30T00:07:00"/>
    <d v="1899-12-30T00:11:00"/>
    <d v="1899-12-30T00:00:00"/>
    <s v="F"/>
    <d v="1899-12-30T00:00:00"/>
    <d v="1899-12-30T00:02:00"/>
    <d v="1899-12-30T00:03:00"/>
    <d v="1899-12-30T00:14:00"/>
    <d v="1899-12-30T00:14:00"/>
    <d v="1899-12-30T00:00:00"/>
    <d v="1899-12-30T00:18:00"/>
    <s v="F"/>
    <s v="F"/>
    <s v="F"/>
    <s v="F"/>
    <s v="F"/>
    <d v="1899-12-30T00:00:00"/>
    <d v="1899-12-30T00:10:00"/>
    <d v="1899-12-30T00:00:00"/>
    <d v="1899-12-30T00:06:00"/>
    <s v="F"/>
    <s v="F"/>
    <d v="1899-12-30T00:11:00"/>
    <d v="1899-12-30T00:00:00"/>
    <s v=""/>
    <s v=""/>
    <m/>
    <x v="1"/>
    <n v="31"/>
    <d v="1899-12-30T00:10:00"/>
    <n v="5"/>
    <n v="0.16129032258064516"/>
    <n v="8"/>
    <x v="0"/>
    <x v="33"/>
  </r>
  <r>
    <s v="00001"/>
    <s v="CACERES CORDOVA, ROCIO SANDRA"/>
    <s v="48429690"/>
    <d v="1899-12-30T00:36:00"/>
    <d v="1899-12-30T00:41:00"/>
    <d v="1899-12-30T00:21:00"/>
    <d v="1899-12-30T00:00:00"/>
    <d v="1899-12-30T00:00:00"/>
    <d v="1899-12-30T00:28:00"/>
    <d v="1899-12-30T00:37:00"/>
    <d v="1899-12-30T00:13:00"/>
    <d v="1899-12-30T00:30:00"/>
    <d v="1899-12-30T00:36:00"/>
    <d v="1899-12-30T00:16:00"/>
    <d v="1899-12-30T00:00:00"/>
    <d v="1899-12-30T00:40:00"/>
    <d v="1899-12-30T00:37:00"/>
    <d v="1899-12-30T00:21:00"/>
    <s v="F"/>
    <d v="1899-12-30T00:21:00"/>
    <d v="1899-12-30T00:01:00"/>
    <d v="1899-12-30T00:00:00"/>
    <d v="1899-12-30T00:40:00"/>
    <d v="1899-12-30T00:27:00"/>
    <d v="1899-12-30T00:57:00"/>
    <d v="1899-12-30T00:28:00"/>
    <d v="1899-12-30T00:27:00"/>
    <d v="1899-12-30T00:00:00"/>
    <d v="1899-12-30T00:00:00"/>
    <d v="1899-12-30T00:52:00"/>
    <d v="1899-12-30T00:45:00"/>
    <d v="1899-12-30T00:00:00"/>
    <m/>
    <m/>
    <m/>
    <x v="2"/>
    <n v="29"/>
    <d v="1899-12-30T00:10:00"/>
    <n v="20"/>
    <n v="0.68965517241379315"/>
    <n v="1"/>
    <x v="0"/>
    <x v="0"/>
  </r>
  <r>
    <s v="00003"/>
    <s v="LLANOS YAURI, LOURDES LUCIA"/>
    <s v="10602846"/>
    <d v="1899-12-30T00:42:00"/>
    <d v="1899-12-30T00:21:00"/>
    <d v="1899-12-30T00:33:00"/>
    <d v="1899-12-30T00:28:00"/>
    <d v="1899-12-30T00:00:00"/>
    <d v="1899-12-30T00:40:00"/>
    <d v="1899-12-30T00:42:00"/>
    <s v=" 1:12"/>
    <d v="1899-12-30T00:23:00"/>
    <s v=" 1:30"/>
    <d v="1899-12-30T00:27:00"/>
    <d v="1899-12-30T00:00:00"/>
    <d v="1899-12-30T00:50:00"/>
    <d v="1899-12-30T00:54:00"/>
    <d v="1899-12-30T00:17:00"/>
    <d v="1899-12-30T00:39:00"/>
    <d v="1899-12-30T00:33:00"/>
    <d v="1899-12-30T00:34:00"/>
    <d v="1899-12-30T00:00:00"/>
    <d v="1899-12-30T00:36:00"/>
    <d v="1899-12-30T00:18:00"/>
    <d v="1899-12-30T00:21:00"/>
    <d v="1899-12-30T00:36:00"/>
    <d v="1899-12-30T00:33:00"/>
    <d v="1899-12-30T00:10:00"/>
    <d v="1899-12-30T00:00:00"/>
    <d v="1899-12-30T00:57:00"/>
    <d v="1899-12-30T00:42:00"/>
    <d v="1899-12-30T00:00:00"/>
    <m/>
    <m/>
    <m/>
    <x v="2"/>
    <n v="29"/>
    <d v="1899-12-30T00:10:00"/>
    <n v="21"/>
    <n v="0.72413793103448276"/>
    <n v="0"/>
    <x v="0"/>
    <x v="1"/>
  </r>
  <r>
    <s v="00004"/>
    <s v="TICLLA RAMOS, MARIELLA"/>
    <s v="72262268"/>
    <d v="1899-12-30T00:12:00"/>
    <d v="1899-12-30T00:25:00"/>
    <d v="1899-12-30T00:44:00"/>
    <d v="1899-12-30T00:14:00"/>
    <d v="1899-12-30T00:00:00"/>
    <d v="1899-12-30T00:11:00"/>
    <d v="1899-12-30T00:31:00"/>
    <d v="1899-12-30T00:13:00"/>
    <d v="1899-12-30T00:22:00"/>
    <d v="1899-12-30T00:18:00"/>
    <d v="1899-12-30T00:13:00"/>
    <d v="1899-12-30T00:00:00"/>
    <d v="1899-12-30T00:29:00"/>
    <d v="1899-12-30T00:14:00"/>
    <d v="1899-12-30T00:09:00"/>
    <d v="1899-12-30T00:23:00"/>
    <d v="1899-12-30T00:45:00"/>
    <d v="1899-12-30T00:13:00"/>
    <d v="1899-12-30T00:00:00"/>
    <d v="1899-12-30T00:10:00"/>
    <d v="1899-12-30T00:38:00"/>
    <d v="1899-12-30T00:23:00"/>
    <s v=" 3:45"/>
    <d v="1899-12-30T00:03:00"/>
    <d v="1899-12-30T00:17:00"/>
    <d v="1899-12-30T00:00:00"/>
    <d v="1899-12-30T00:18:00"/>
    <d v="1899-12-30T00:31:00"/>
    <d v="1899-12-30T00:00:00"/>
    <m/>
    <m/>
    <m/>
    <x v="2"/>
    <n v="29"/>
    <d v="1899-12-30T00:10:00"/>
    <n v="20"/>
    <n v="0.68965517241379315"/>
    <n v="0"/>
    <x v="0"/>
    <x v="2"/>
  </r>
  <r>
    <s v="00006"/>
    <s v="PARIONA ROSAS, RICHARD"/>
    <s v="71001774"/>
    <d v="1899-12-30T00:00:00"/>
    <d v="1899-12-30T00:05:00"/>
    <s v="F"/>
    <s v="F"/>
    <d v="1899-12-30T00:00:00"/>
    <d v="1899-12-30T00:00:00"/>
    <d v="1899-12-30T00:00:00"/>
    <d v="1899-12-30T00:00:00"/>
    <d v="1899-12-30T00:00:00"/>
    <d v="1899-12-30T00:00:00"/>
    <d v="1899-12-30T00:04:00"/>
    <d v="1899-12-30T00:00:00"/>
    <d v="1899-12-30T00:00:00"/>
    <d v="1899-12-30T00:06:00"/>
    <d v="1899-12-30T00:14:00"/>
    <d v="1899-12-30T00:09:00"/>
    <d v="1899-12-30T00:09:00"/>
    <d v="1899-12-30T00:14:00"/>
    <d v="1899-12-30T00:00:00"/>
    <d v="1899-12-30T00:06:00"/>
    <d v="1899-12-30T00:05:00"/>
    <d v="1899-12-30T00:00:00"/>
    <d v="1899-12-30T00:17:00"/>
    <d v="1899-12-30T00:08:00"/>
    <d v="1899-12-30T00:00:00"/>
    <d v="1899-12-30T00:00:00"/>
    <d v="1899-12-30T00:11:00"/>
    <d v="1899-12-30T00:14:00"/>
    <d v="1899-12-30T00:00:00"/>
    <m/>
    <m/>
    <m/>
    <x v="2"/>
    <n v="29"/>
    <d v="1899-12-30T00:10:00"/>
    <n v="5"/>
    <n v="0.17241379310344829"/>
    <n v="2"/>
    <x v="0"/>
    <x v="3"/>
  </r>
  <r>
    <s v="00007"/>
    <s v="GALINDO MERA, YAHAIRA LUZMILA"/>
    <s v="70655433"/>
    <d v="1899-12-30T00:28:00"/>
    <d v="1899-12-30T00:30:00"/>
    <d v="1899-12-30T00:36:00"/>
    <d v="1899-12-30T00:27:00"/>
    <d v="1899-12-30T00:00:00"/>
    <d v="1899-12-30T00:12:00"/>
    <d v="1899-12-30T00:36:00"/>
    <d v="1899-12-30T00:39:00"/>
    <d v="1899-12-30T00:59:00"/>
    <d v="1899-12-30T00:20:00"/>
    <d v="1899-12-30T00:19:00"/>
    <d v="1899-12-30T00:00:00"/>
    <d v="1899-12-30T00:16:00"/>
    <d v="1899-12-30T00:29:00"/>
    <d v="1899-12-30T00:08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m/>
    <x v="2"/>
    <n v="29"/>
    <d v="1899-12-30T00:10:00"/>
    <n v="12"/>
    <n v="0.41379310344827586"/>
    <n v="0"/>
    <x v="1"/>
    <x v="4"/>
  </r>
  <r>
    <s v="00008"/>
    <s v="LLANOS ANTAURCO, STEPHEN BORIS"/>
    <s v="46183969"/>
    <d v="1899-12-30T00:18:00"/>
    <d v="1899-12-30T00:04:00"/>
    <d v="1899-12-30T00:01:00"/>
    <d v="1899-12-30T00:05:00"/>
    <d v="1899-12-30T00:00:00"/>
    <d v="1899-12-30T00:22:00"/>
    <d v="1899-12-30T00:10:00"/>
    <d v="1899-12-30T00:05:00"/>
    <d v="1899-12-30T00:20:00"/>
    <d v="1899-12-30T00:05:00"/>
    <d v="1899-12-30T00:00:00"/>
    <d v="1899-12-30T00:00:00"/>
    <d v="1899-12-30T00:01:00"/>
    <d v="1899-12-30T00:04:00"/>
    <d v="1899-12-30T00:34:00"/>
    <d v="1899-12-30T00:15:00"/>
    <d v="1899-12-30T00:32:00"/>
    <d v="1899-12-30T00:04:00"/>
    <d v="1899-12-30T00:00:00"/>
    <d v="1899-12-30T00:08:00"/>
    <d v="1899-12-30T00:14:00"/>
    <d v="1899-12-30T00:00:00"/>
    <d v="1899-12-30T00:17:00"/>
    <d v="1899-12-30T00:07:00"/>
    <d v="1899-12-30T00:11:00"/>
    <d v="1899-12-30T00:00:00"/>
    <d v="1899-12-30T00:00:00"/>
    <d v="1899-12-30T00:05:00"/>
    <d v="1899-12-30T00:00:00"/>
    <m/>
    <m/>
    <m/>
    <x v="2"/>
    <n v="29"/>
    <d v="1899-12-30T00:10:00"/>
    <n v="9"/>
    <n v="0.31034482758620691"/>
    <n v="0"/>
    <x v="0"/>
    <x v="5"/>
  </r>
  <r>
    <s v="00010"/>
    <s v="CCAMA ARONI, LUZ MIRELLA"/>
    <s v="76575233"/>
    <d v="1899-12-30T00:40:00"/>
    <d v="1899-12-30T00:27:00"/>
    <d v="1899-12-30T00:33:00"/>
    <d v="1899-12-30T00:18:00"/>
    <d v="1899-12-30T00:00:00"/>
    <d v="1899-12-30T00:21:00"/>
    <d v="1899-12-30T00:35:00"/>
    <d v="1899-12-30T00:15:00"/>
    <d v="1899-12-30T00:34:00"/>
    <d v="1899-12-30T00:26:00"/>
    <d v="1899-12-30T00:18:00"/>
    <d v="1899-12-30T00:00:00"/>
    <d v="1899-12-30T00:37:00"/>
    <d v="1899-12-30T00:11:00"/>
    <d v="1899-12-30T00:27:00"/>
    <d v="1899-12-30T00:16:00"/>
    <d v="1899-12-30T00:21:00"/>
    <d v="1899-12-30T00:36:00"/>
    <d v="1899-12-30T00:00:00"/>
    <d v="1899-12-30T00:24:00"/>
    <d v="1899-12-30T00:18:00"/>
    <d v="1899-12-30T00:27:00"/>
    <d v="1899-12-30T00:33:00"/>
    <d v="1899-12-30T00:33:00"/>
    <d v="1899-12-30T00:08:00"/>
    <d v="1899-12-30T00:00:00"/>
    <d v="1899-12-30T00:18:00"/>
    <d v="1899-12-30T00:39:00"/>
    <d v="1899-12-30T00:00:00"/>
    <m/>
    <m/>
    <m/>
    <x v="2"/>
    <n v="29"/>
    <d v="1899-12-30T00:10:00"/>
    <n v="23"/>
    <n v="0.7931034482758621"/>
    <n v="0"/>
    <x v="0"/>
    <x v="6"/>
  </r>
  <r>
    <s v="00013"/>
    <s v="CAYCHO HUANCA, ANDREA ALESSANDRA"/>
    <s v="76227067"/>
    <d v="1899-12-30T00:30:00"/>
    <d v="1899-12-30T00:38:00"/>
    <d v="1899-12-30T00:32:00"/>
    <d v="1899-12-30T00:23:00"/>
    <d v="1899-12-30T00:00:00"/>
    <d v="1899-12-30T00:25:00"/>
    <d v="1899-12-30T00:12:00"/>
    <d v="1899-12-30T00:30:00"/>
    <d v="1899-12-30T00:21:00"/>
    <d v="1899-12-30T00:18:00"/>
    <d v="1899-12-30T00:25:00"/>
    <d v="1899-12-30T00:00:00"/>
    <d v="1899-12-30T00:42:00"/>
    <d v="1899-12-30T00:06:00"/>
    <d v="1899-12-30T00:15:00"/>
    <d v="1899-12-30T00:32:00"/>
    <d v="1899-12-30T00:21:00"/>
    <d v="1899-12-30T00:16:00"/>
    <d v="1899-12-30T00:00:00"/>
    <d v="1899-12-30T00:17:00"/>
    <d v="1899-12-30T00:11:00"/>
    <d v="1899-12-30T00:21:00"/>
    <d v="1899-12-30T00:21:00"/>
    <d v="1899-12-30T00:27:00"/>
    <d v="1899-12-30T00:06:00"/>
    <d v="1899-12-30T00:00:00"/>
    <d v="1899-12-30T00:13:00"/>
    <d v="1899-12-30T00:27:00"/>
    <d v="1899-12-30T00:00:00"/>
    <m/>
    <m/>
    <m/>
    <x v="2"/>
    <n v="29"/>
    <d v="1899-12-30T00:10:00"/>
    <n v="22"/>
    <n v="0.75862068965517238"/>
    <n v="0"/>
    <x v="1"/>
    <x v="7"/>
  </r>
  <r>
    <s v="00014"/>
    <s v="PAREDES GUILLEN, ROCIO NOEMI"/>
    <s v="09930677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s v="F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m/>
    <x v="2"/>
    <n v="29"/>
    <d v="1899-12-30T00:10:00"/>
    <n v="0"/>
    <n v="0"/>
    <n v="1"/>
    <x v="1"/>
    <x v="8"/>
  </r>
  <r>
    <s v="00016"/>
    <s v="GUEVARA ENRIQUEZ, ROGELIO"/>
    <s v="70237404"/>
    <d v="1899-12-30T00:00:00"/>
    <d v="1899-12-30T00:00:00"/>
    <d v="1899-12-30T00:13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m/>
    <x v="2"/>
    <n v="29"/>
    <d v="1899-12-30T00:10:00"/>
    <n v="1"/>
    <n v="3.4482758620689655E-2"/>
    <n v="0"/>
    <x v="1"/>
    <x v="9"/>
  </r>
  <r>
    <s v="00017"/>
    <s v="ASIAN RAMIREZ, SILVIA LARITZA"/>
    <s v="70098369"/>
    <d v="1899-12-30T00:31:00"/>
    <d v="1899-12-30T00:27:00"/>
    <d v="1899-12-30T00:21:00"/>
    <d v="1899-12-30T00:29:00"/>
    <d v="1899-12-30T00:00:00"/>
    <d v="1899-12-30T00:25:00"/>
    <d v="1899-12-30T00:18:00"/>
    <d v="1899-12-30T00:24:00"/>
    <d v="1899-12-30T00:30:00"/>
    <d v="1899-12-30T00:24:00"/>
    <d v="1899-12-30T00:37:00"/>
    <d v="1899-12-30T00:00:00"/>
    <d v="1899-12-30T00:55:00"/>
    <d v="1899-12-30T00:27:00"/>
    <d v="1899-12-30T00:21:00"/>
    <d v="1899-12-30T00:33:00"/>
    <d v="1899-12-30T00:15:00"/>
    <s v=" 1:26"/>
    <d v="1899-12-30T00:00:00"/>
    <d v="1899-12-30T00:39:00"/>
    <d v="1899-12-30T00:41:00"/>
    <d v="1899-12-30T00:41:00"/>
    <d v="1899-12-30T00:55:00"/>
    <d v="1899-12-30T00:37:00"/>
    <d v="1899-12-30T00:08:00"/>
    <d v="1899-12-30T00:00:00"/>
    <s v=" 1:17"/>
    <d v="1899-12-30T00:42:00"/>
    <d v="1899-12-30T00:00:00"/>
    <m/>
    <m/>
    <m/>
    <x v="2"/>
    <n v="29"/>
    <d v="1899-12-30T00:10:00"/>
    <n v="21"/>
    <n v="0.72413793103448276"/>
    <n v="0"/>
    <x v="1"/>
    <x v="10"/>
  </r>
  <r>
    <s v="00021"/>
    <s v="PRETELL PINTADO, ANGELICA DIANA"/>
    <s v="72648191"/>
    <d v="1899-12-30T00:28:00"/>
    <d v="1899-12-30T00:29:00"/>
    <d v="1899-12-30T00:24:00"/>
    <d v="1899-12-30T00:14:00"/>
    <d v="1899-12-30T00:00:00"/>
    <d v="1899-12-30T00:43:00"/>
    <d v="1899-12-30T00:30:00"/>
    <d v="1899-12-30T00:33:00"/>
    <d v="1899-12-30T00:21:00"/>
    <d v="1899-12-30T00:19:00"/>
    <d v="1899-12-30T00:25:00"/>
    <d v="1899-12-30T00:00:00"/>
    <d v="1899-12-30T00:25:00"/>
    <d v="1899-12-30T00:18:00"/>
    <d v="1899-12-30T00:44:00"/>
    <d v="1899-12-30T00:23:00"/>
    <d v="1899-12-30T00:15:00"/>
    <d v="1899-12-30T00:10:00"/>
    <d v="1899-12-30T00:00:00"/>
    <d v="1899-12-30T00:26:00"/>
    <d v="1899-12-30T00:18:00"/>
    <s v="F"/>
    <d v="1899-12-30T00:00:00"/>
    <d v="1899-12-30T00:23:00"/>
    <d v="1899-12-30T00:13:00"/>
    <d v="1899-12-30T00:00:00"/>
    <d v="1899-12-30T00:35:00"/>
    <d v="1899-12-30T00:24:00"/>
    <d v="1899-12-30T00:00:00"/>
    <m/>
    <m/>
    <m/>
    <x v="2"/>
    <n v="29"/>
    <d v="1899-12-30T00:10:00"/>
    <n v="21"/>
    <n v="0.72413793103448276"/>
    <n v="1"/>
    <x v="1"/>
    <x v="11"/>
  </r>
  <r>
    <s v="00022"/>
    <s v="TENORIO FELIX, SAMANTHA NICOLLE"/>
    <s v="72925189"/>
    <s v="F"/>
    <s v="F"/>
    <s v="F"/>
    <s v="F"/>
    <d v="1899-12-30T00:00:00"/>
    <s v="F"/>
    <s v="F"/>
    <s v="F"/>
    <s v="F"/>
    <s v="F"/>
    <d v="1899-12-30T00:07:00"/>
    <d v="1899-12-30T00:00:00"/>
    <d v="1899-12-30T00:33:00"/>
    <d v="1899-12-30T00:00:00"/>
    <d v="1899-12-30T00:04:00"/>
    <d v="1899-12-30T00:21:00"/>
    <d v="1899-12-30T00:19:00"/>
    <d v="1899-12-30T00:16:00"/>
    <d v="1899-12-30T00:00:00"/>
    <d v="1899-12-30T00:03:00"/>
    <d v="1899-12-30T00:52:00"/>
    <d v="1899-12-30T00:11:00"/>
    <d v="1899-12-30T00:32:00"/>
    <d v="1899-12-30T00:00:00"/>
    <d v="1899-12-30T00:25:00"/>
    <d v="1899-12-30T00:00:00"/>
    <d v="1899-12-30T00:31:00"/>
    <d v="1899-12-30T00:06:00"/>
    <d v="1899-12-30T00:00:00"/>
    <m/>
    <m/>
    <m/>
    <x v="2"/>
    <n v="29"/>
    <d v="1899-12-30T00:10:00"/>
    <n v="9"/>
    <n v="0.31034482758620691"/>
    <n v="9"/>
    <x v="1"/>
    <x v="12"/>
  </r>
  <r>
    <s v="00023"/>
    <s v="LOPEZ FARIAS, CARLOS JOAQUIN"/>
    <s v="73619936"/>
    <d v="1899-12-30T00:00:00"/>
    <d v="1899-12-30T00:24:00"/>
    <d v="1899-12-30T00:25:00"/>
    <d v="1899-12-30T00:20:00"/>
    <d v="1899-12-30T00:00:00"/>
    <d v="1899-12-30T00:16:00"/>
    <d v="1899-12-30T00:48:00"/>
    <d v="1899-12-30T00:24:00"/>
    <d v="1899-12-30T00:00:00"/>
    <d v="1899-12-30T00:10:00"/>
    <d v="1899-12-30T00:19:00"/>
    <d v="1899-12-30T00:00:00"/>
    <d v="1899-12-30T00:28:00"/>
    <d v="1899-12-30T00:32:00"/>
    <d v="1899-12-30T00:15:00"/>
    <d v="1899-12-30T00:30:00"/>
    <d v="1899-12-30T00:25:00"/>
    <d v="1899-12-30T00:06:00"/>
    <d v="1899-12-30T00:00:00"/>
    <d v="1899-12-30T00:20:00"/>
    <d v="1899-12-30T00:00:00"/>
    <d v="1899-12-30T00:00:00"/>
    <d v="1899-12-30T00:00:00"/>
    <d v="1899-12-30T00:01:00"/>
    <d v="1899-12-30T00:00:00"/>
    <d v="1899-12-30T00:00:00"/>
    <d v="1899-12-30T00:00:00"/>
    <d v="1899-12-30T00:00:00"/>
    <d v="1899-12-30T00:00:00"/>
    <m/>
    <m/>
    <m/>
    <x v="2"/>
    <n v="29"/>
    <d v="1899-12-30T00:10:00"/>
    <n v="13"/>
    <n v="0.44827586206896552"/>
    <n v="0"/>
    <x v="0"/>
    <x v="13"/>
  </r>
  <r>
    <s v="00024"/>
    <s v="LOPEZ CRUZ, JEFFERSON NORMAN"/>
    <s v="72754919"/>
    <s v="F"/>
    <s v="F"/>
    <s v="F"/>
    <s v="F"/>
    <d v="1899-12-30T00:00:00"/>
    <s v="F"/>
    <s v="F"/>
    <s v="F"/>
    <d v="1899-12-30T00:05:00"/>
    <d v="1899-12-30T00:00:00"/>
    <d v="1899-12-30T00:25:00"/>
    <d v="1899-12-30T00:00:00"/>
    <d v="1899-12-30T00:42:00"/>
    <d v="1899-12-30T00:05:00"/>
    <d v="1899-12-30T00:15:00"/>
    <d v="1899-12-30T00:35:00"/>
    <d v="1899-12-30T00:32:00"/>
    <d v="1899-12-30T00:22:00"/>
    <d v="1899-12-30T00:00:00"/>
    <d v="1899-12-30T00:17:00"/>
    <d v="1899-12-30T00:21:00"/>
    <d v="1899-12-30T00:13:00"/>
    <d v="1899-12-30T00:30:00"/>
    <d v="1899-12-30T00:31:00"/>
    <d v="1899-12-30T00:11:00"/>
    <d v="1899-12-30T00:00:00"/>
    <d v="1899-12-30T00:04:00"/>
    <d v="1899-12-30T00:27:00"/>
    <d v="1899-12-30T00:00:00"/>
    <m/>
    <m/>
    <m/>
    <x v="2"/>
    <n v="29"/>
    <d v="1899-12-30T00:10:00"/>
    <n v="13"/>
    <n v="0.44827586206896552"/>
    <n v="7"/>
    <x v="1"/>
    <x v="14"/>
  </r>
  <r>
    <s v="00025"/>
    <s v="CRUZ TAIPE, RONY WALDIR"/>
    <s v="76848378"/>
    <d v="1899-12-30T00:00:00"/>
    <d v="1899-12-30T00:03:00"/>
    <d v="1899-12-30T00:00:00"/>
    <d v="1899-12-30T00:26:00"/>
    <d v="1899-12-30T00:00:00"/>
    <d v="1899-12-30T00:15:00"/>
    <d v="1899-12-30T00:32:00"/>
    <d v="1899-12-30T00:00:00"/>
    <s v="F"/>
    <d v="1899-12-30T00:00:00"/>
    <d v="1899-12-30T00:05:00"/>
    <d v="1899-12-30T00:00:00"/>
    <d v="1899-12-30T00:02:00"/>
    <d v="1899-12-30T00:05:00"/>
    <d v="1899-12-30T00:08:00"/>
    <d v="1899-12-30T00:01:00"/>
    <d v="1899-12-30T00:00:00"/>
    <d v="1899-12-30T00:05:00"/>
    <d v="1899-12-30T00:00:00"/>
    <d v="1899-12-30T00:18:00"/>
    <d v="1899-12-30T00:00:00"/>
    <d v="1899-12-30T00:00:00"/>
    <d v="1899-12-30T00:00:00"/>
    <d v="1899-12-30T00:01:00"/>
    <d v="1899-12-30T00:06:00"/>
    <d v="1899-12-30T00:00:00"/>
    <d v="1899-12-30T00:00:00"/>
    <d v="1899-12-30T00:00:00"/>
    <d v="1899-12-30T00:00:00"/>
    <m/>
    <m/>
    <m/>
    <x v="2"/>
    <n v="29"/>
    <d v="1899-12-30T00:10:00"/>
    <n v="4"/>
    <n v="0.13793103448275862"/>
    <n v="1"/>
    <x v="0"/>
    <x v="15"/>
  </r>
  <r>
    <s v="00026"/>
    <s v="ANDRADE MERA, MARQUIÑO ANTONY"/>
    <s v="74768155"/>
    <d v="1899-12-30T00:00:00"/>
    <d v="1899-12-30T00:12:00"/>
    <d v="1899-12-30T00:00:00"/>
    <d v="1899-12-30T00:00:00"/>
    <d v="1899-12-30T00:00:00"/>
    <d v="1899-12-30T00:01:00"/>
    <s v="F"/>
    <d v="1899-12-30T00:00:00"/>
    <d v="1899-12-30T00:00:00"/>
    <d v="1899-12-30T00:00:00"/>
    <d v="1899-12-30T00:00:00"/>
    <d v="1899-12-30T00:00:00"/>
    <d v="1899-12-30T00:14:00"/>
    <d v="1899-12-30T00:11:00"/>
    <d v="1899-12-30T00:15:00"/>
    <d v="1899-12-30T00:05:00"/>
    <d v="1899-12-30T00:07:00"/>
    <d v="1899-12-30T00:02:00"/>
    <d v="1899-12-30T00:00:00"/>
    <d v="1899-12-30T00:14:00"/>
    <d v="1899-12-30T00:10:00"/>
    <d v="1899-12-30T00:10:00"/>
    <d v="1899-12-30T00:20:00"/>
    <d v="1899-12-30T00:04:00"/>
    <d v="1899-12-30T00:06:00"/>
    <d v="1899-12-30T00:00:00"/>
    <d v="1899-12-30T00:15:00"/>
    <d v="1899-12-30T00:12:00"/>
    <d v="1899-12-30T00:00:00"/>
    <m/>
    <m/>
    <m/>
    <x v="2"/>
    <n v="29"/>
    <d v="1899-12-30T00:10:00"/>
    <n v="8"/>
    <n v="0.27586206896551724"/>
    <n v="1"/>
    <x v="1"/>
    <x v="16"/>
  </r>
  <r>
    <s v="00028"/>
    <s v="CLAROS NIETO, LITTA DANERY"/>
    <s v="47329796"/>
    <d v="1899-12-30T00:00:00"/>
    <d v="1899-12-30T00:00:00"/>
    <s v=" 1:59"/>
    <d v="1899-12-30T00:08:00"/>
    <d v="1899-12-30T00:00:00"/>
    <d v="1899-12-30T00:14:00"/>
    <d v="1899-12-30T00:41:00"/>
    <d v="1899-12-30T00:53:00"/>
    <d v="1899-12-30T00:36:00"/>
    <d v="1899-12-30T00:26:00"/>
    <d v="1899-12-30T00:00:00"/>
    <d v="1899-12-30T00:00:00"/>
    <d v="1899-12-30T00:49:00"/>
    <d v="1899-12-30T00:09:00"/>
    <d v="1899-12-30T00:13:00"/>
    <d v="1899-12-30T00:24:00"/>
    <d v="1899-12-30T00:12:00"/>
    <d v="1899-12-30T00:00:00"/>
    <d v="1899-12-30T00:00:00"/>
    <d v="1899-12-30T00:03:00"/>
    <d v="1899-12-30T00:23:00"/>
    <d v="1899-12-30T00:41:00"/>
    <d v="1899-12-30T00:42:00"/>
    <d v="1899-12-30T00:37:00"/>
    <d v="1899-12-30T00:25:00"/>
    <d v="1899-12-30T00:00:00"/>
    <d v="1899-12-30T00:29:00"/>
    <d v="1899-12-30T00:56:00"/>
    <d v="1899-12-30T00:00:00"/>
    <m/>
    <m/>
    <m/>
    <x v="2"/>
    <n v="29"/>
    <d v="1899-12-30T00:10:00"/>
    <n v="16"/>
    <n v="0.55172413793103448"/>
    <n v="0"/>
    <x v="1"/>
    <x v="18"/>
  </r>
  <r>
    <s v="00031"/>
    <s v="ZARATE SALAZAR, JOE"/>
    <s v="10157300"/>
    <s v="F"/>
    <s v="F"/>
    <s v="F"/>
    <s v="F"/>
    <d v="1899-12-30T00:00:00"/>
    <s v="F"/>
    <s v="F"/>
    <s v="F"/>
    <s v="F"/>
    <s v="F"/>
    <s v="F"/>
    <d v="1899-12-30T00:00:00"/>
    <s v="F"/>
    <s v="F"/>
    <s v="F"/>
    <s v="F"/>
    <s v="F"/>
    <s v="F"/>
    <d v="1899-12-30T00:00:00"/>
    <s v="F"/>
    <s v="F"/>
    <s v="F"/>
    <s v="F"/>
    <s v="F"/>
    <s v="F"/>
    <d v="1899-12-30T00:00:00"/>
    <s v="F"/>
    <s v="F"/>
    <d v="1899-12-30T00:00:00"/>
    <m/>
    <m/>
    <m/>
    <x v="2"/>
    <n v="29"/>
    <d v="1899-12-30T00:10:00"/>
    <n v="0"/>
    <n v="0"/>
    <n v="24"/>
    <x v="1"/>
    <x v="32"/>
  </r>
  <r>
    <s v="00034"/>
    <s v="MEJIA TORRES, FRANCISCO JAVIER"/>
    <s v="72350882"/>
    <d v="1899-12-30T00:06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4:00"/>
    <d v="1899-12-30T00:00:00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00:00"/>
    <d v="1899-12-30T00:00:00"/>
    <d v="1899-12-30T00:00:00"/>
    <d v="1899-12-30T00:09:00"/>
    <d v="1899-12-30T00:00:00"/>
    <d v="1899-12-30T00:00:00"/>
    <m/>
    <m/>
    <m/>
    <x v="2"/>
    <n v="29"/>
    <d v="1899-12-30T00:10:00"/>
    <n v="0"/>
    <n v="0"/>
    <n v="0"/>
    <x v="0"/>
    <x v="20"/>
  </r>
  <r>
    <s v="00035"/>
    <s v="GUEVARA CABELLO, CARLOS JEANPIERRE"/>
    <s v="74026944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11:00"/>
    <d v="1899-12-30T00:00:00"/>
    <d v="1899-12-30T00:00:00"/>
    <d v="1899-12-30T00:00:00"/>
    <d v="1899-12-30T00:23:00"/>
    <d v="1899-12-30T00:02:00"/>
    <s v=" 1:19"/>
    <d v="1899-12-30T00:33:00"/>
    <d v="1899-12-30T00:20:00"/>
    <d v="1899-12-30T00:00:00"/>
    <d v="1899-12-30T00:00:00"/>
    <d v="1899-12-30T00:00:00"/>
    <d v="1899-12-30T00:02:00"/>
    <d v="1899-12-30T00:33:00"/>
    <d v="1899-12-30T00:02:00"/>
    <d v="1899-12-30T00:16:00"/>
    <d v="1899-12-30T00:00:00"/>
    <d v="1899-12-30T00:00:00"/>
    <s v="F"/>
    <d v="1899-12-30T00:19:00"/>
    <d v="1899-12-30T00:00:00"/>
    <m/>
    <m/>
    <m/>
    <x v="2"/>
    <n v="29"/>
    <d v="1899-12-30T00:10:00"/>
    <n v="7"/>
    <n v="0.2413793103448276"/>
    <n v="1"/>
    <x v="0"/>
    <x v="21"/>
  </r>
  <r>
    <s v="00036"/>
    <s v="AMES ESPINOZA, KIMBERLLY"/>
    <s v="75149675"/>
    <d v="1899-12-30T00:17:00"/>
    <d v="1899-12-30T00:40:00"/>
    <d v="1899-12-30T00:00:00"/>
    <d v="1899-12-30T00:57:00"/>
    <d v="1899-12-30T00:00:00"/>
    <d v="1899-12-30T00:47:00"/>
    <d v="1899-12-30T00:13:00"/>
    <s v=" 1:03"/>
    <d v="1899-12-30T00:33:00"/>
    <d v="1899-12-30T00:36:00"/>
    <d v="1899-12-30T00:39:00"/>
    <d v="1899-12-30T00:00:00"/>
    <d v="1899-12-30T00:00:00"/>
    <d v="1899-12-30T00:53:00"/>
    <d v="1899-12-30T00:00:00"/>
    <d v="1899-12-30T00:30:00"/>
    <d v="1899-12-30T00:32:00"/>
    <d v="1899-12-30T00:12:00"/>
    <d v="1899-12-30T00:00:00"/>
    <d v="1899-12-30T00:00:00"/>
    <d v="1899-12-30T00:30:00"/>
    <d v="1899-12-30T00:14:00"/>
    <d v="1899-12-30T00:27:00"/>
    <d v="1899-12-30T00:00:00"/>
    <d v="1899-12-30T00:14:00"/>
    <d v="1899-12-30T00:00:00"/>
    <d v="1899-12-30T00:17:00"/>
    <d v="1899-12-30T00:39:00"/>
    <d v="1899-12-30T00:00:00"/>
    <m/>
    <m/>
    <m/>
    <x v="2"/>
    <n v="29"/>
    <d v="1899-12-30T00:10:00"/>
    <n v="18"/>
    <n v="0.62068965517241381"/>
    <n v="0"/>
    <x v="0"/>
    <x v="22"/>
  </r>
  <r>
    <s v="00037"/>
    <s v="ALVARADO ECHAIZ, LILIANA"/>
    <s v="15739413"/>
    <d v="1899-12-30T00:39:00"/>
    <d v="1899-12-30T00:15:00"/>
    <d v="1899-12-30T00:12:00"/>
    <d v="1899-12-30T00:00:00"/>
    <d v="1899-12-30T00:00:00"/>
    <d v="1899-12-30T00:02:00"/>
    <d v="1899-12-30T00:31:00"/>
    <d v="1899-12-30T00:01:00"/>
    <d v="1899-12-30T00:26:00"/>
    <d v="1899-12-30T00:19:00"/>
    <d v="1899-12-30T00:18:00"/>
    <d v="1899-12-30T00:00:00"/>
    <d v="1899-12-30T00:25:00"/>
    <d v="1899-12-30T00:36:00"/>
    <d v="1899-12-30T00:16:00"/>
    <d v="1899-12-30T00:09:00"/>
    <d v="1899-12-30T00:31:00"/>
    <d v="1899-12-30T00:19:00"/>
    <d v="1899-12-30T00:00:00"/>
    <d v="1899-12-30T00:15:00"/>
    <d v="1899-12-30T00:18:00"/>
    <d v="1899-12-30T00:22:00"/>
    <d v="1899-12-30T00:26:00"/>
    <d v="1899-12-30T00:22:00"/>
    <d v="1899-12-30T00:00:00"/>
    <d v="1899-12-30T00:00:00"/>
    <d v="1899-12-30T00:22:00"/>
    <d v="1899-12-30T00:32:00"/>
    <d v="1899-12-30T00:00:00"/>
    <m/>
    <m/>
    <m/>
    <x v="2"/>
    <n v="29"/>
    <d v="1899-12-30T00:10:00"/>
    <n v="19"/>
    <n v="0.65517241379310343"/>
    <n v="0"/>
    <x v="0"/>
    <x v="23"/>
  </r>
  <r>
    <s v="00040"/>
    <s v="MERMA CHILA, MANUEL ENRIQUE"/>
    <s v="75925906"/>
    <d v="1899-12-30T00:00:00"/>
    <d v="1899-12-30T00:08:00"/>
    <d v="1899-12-30T00:02:00"/>
    <d v="1899-12-30T00:00:00"/>
    <d v="1899-12-30T00:00:00"/>
    <d v="1899-12-30T00:14:00"/>
    <d v="1899-12-30T00:00:00"/>
    <d v="1899-12-30T00:13:00"/>
    <d v="1899-12-30T00:01:00"/>
    <d v="1899-12-30T00:00:00"/>
    <d v="1899-12-30T00:00:00"/>
    <d v="1899-12-30T00:00:00"/>
    <d v="1899-12-30T00:12:00"/>
    <d v="1899-12-30T00:02:00"/>
    <d v="1899-12-30T00:07:00"/>
    <d v="1899-12-30T00:02:00"/>
    <d v="1899-12-30T00:02:00"/>
    <d v="1899-12-30T00:00:00"/>
    <d v="1899-12-30T00:00:00"/>
    <d v="1899-12-30T00:04:00"/>
    <d v="1899-12-30T00:00:00"/>
    <s v="F"/>
    <s v="F"/>
    <s v="F"/>
    <d v="1899-12-30T00:00:00"/>
    <d v="1899-12-30T00:00:00"/>
    <d v="1899-12-30T00:04:00"/>
    <d v="1899-12-30T00:00:00"/>
    <d v="1899-12-30T00:00:00"/>
    <m/>
    <m/>
    <m/>
    <x v="2"/>
    <n v="29"/>
    <d v="1899-12-30T00:10:00"/>
    <n v="3"/>
    <n v="0.10344827586206896"/>
    <n v="3"/>
    <x v="0"/>
    <x v="26"/>
  </r>
  <r>
    <s v="00041"/>
    <s v="SANCHEZ PANAIFO, GRECIA DANNAE"/>
    <s v="48420673"/>
    <d v="1899-12-30T00:15:00"/>
    <d v="1899-12-30T00:06:00"/>
    <d v="1899-12-30T00:07:00"/>
    <d v="1899-12-30T00:13:00"/>
    <d v="1899-12-30T00:00:00"/>
    <s v=" 1:16"/>
    <d v="1899-12-30T00:00:00"/>
    <d v="1899-12-30T00:03:00"/>
    <d v="1899-12-30T00:19:00"/>
    <d v="1899-12-30T00:06:00"/>
    <d v="1899-12-30T00:02:00"/>
    <d v="1899-12-30T00:00:00"/>
    <s v=" 1:00"/>
    <d v="1899-12-30T00:00:00"/>
    <d v="1899-12-30T00:07:00"/>
    <d v="1899-12-30T00:00:00"/>
    <d v="1899-12-30T00:00:00"/>
    <d v="1899-12-30T00:06:00"/>
    <d v="1899-12-30T00:00:00"/>
    <d v="1899-12-30T00:07:00"/>
    <d v="1899-12-30T00:10:00"/>
    <d v="1899-12-30T00:00:00"/>
    <d v="1899-12-30T00:00:00"/>
    <d v="1899-12-30T00:00:00"/>
    <d v="1899-12-30T00:31:00"/>
    <d v="1899-12-30T00:00:00"/>
    <d v="1899-12-30T00:17:00"/>
    <d v="1899-12-30T00:16:00"/>
    <d v="1899-12-30T00:00:00"/>
    <m/>
    <m/>
    <m/>
    <x v="2"/>
    <n v="29"/>
    <d v="1899-12-30T00:10:00"/>
    <n v="6"/>
    <n v="0.20689655172413793"/>
    <n v="0"/>
    <x v="0"/>
    <x v="27"/>
  </r>
  <r>
    <s v="00042"/>
    <s v="CHAVEZ GUILLEN, DIANA CAROLINA"/>
    <s v="71007128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4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m/>
    <x v="2"/>
    <n v="29"/>
    <d v="1899-12-30T00:10:00"/>
    <n v="0"/>
    <n v="0"/>
    <n v="0"/>
    <x v="1"/>
    <x v="28"/>
  </r>
  <r>
    <s v="00043"/>
    <s v="URDAY CHOQUE, JONATHAN EDGARD"/>
    <s v="71432329"/>
    <d v="1899-12-30T00:00:00"/>
    <d v="1899-12-30T00:00:00"/>
    <d v="1899-12-30T00:00:00"/>
    <d v="1899-12-30T00:15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1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m/>
    <x v="2"/>
    <n v="29"/>
    <d v="1899-12-30T00:10:00"/>
    <n v="1"/>
    <n v="3.4482758620689655E-2"/>
    <n v="0"/>
    <x v="0"/>
    <x v="29"/>
  </r>
  <r>
    <s v="00044"/>
    <s v="PEREZ VERA, MARLENE BETTY"/>
    <s v="72092638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1:00"/>
    <d v="1899-12-30T00:00:00"/>
    <d v="1899-12-30T00:00:00"/>
    <d v="1899-12-30T00:00:00"/>
    <d v="1899-12-30T00:05:00"/>
    <d v="1899-12-30T00:00:00"/>
    <d v="1899-12-30T00:05:00"/>
    <d v="1899-12-30T00:00:00"/>
    <d v="1899-12-30T00:00:00"/>
    <d v="1899-12-30T00:06:00"/>
    <d v="1899-12-30T00:00:00"/>
    <d v="1899-12-30T00:00:00"/>
    <d v="1899-12-30T00:00:00"/>
    <d v="1899-12-30T00:08:00"/>
    <d v="1899-12-30T00:00:00"/>
    <d v="1899-12-30T00:00:00"/>
    <d v="1899-12-30T00:02:00"/>
    <d v="1899-12-30T00:00:00"/>
    <d v="1899-12-30T00:00:00"/>
    <m/>
    <m/>
    <m/>
    <x v="2"/>
    <n v="29"/>
    <d v="1899-12-30T00:10:00"/>
    <n v="0"/>
    <n v="0"/>
    <n v="0"/>
    <x v="1"/>
    <x v="30"/>
  </r>
  <r>
    <s v="00045"/>
    <s v="ALARCON MONTALVAN, YAEL ASHLEY"/>
    <s v="73354131"/>
    <d v="1899-12-30T00:35:00"/>
    <d v="1899-12-30T00:35:00"/>
    <d v="1899-12-30T00:33:00"/>
    <d v="1899-12-30T00:36:00"/>
    <d v="1899-12-30T00:00:00"/>
    <d v="1899-12-30T00:48:00"/>
    <d v="1899-12-30T00:37:00"/>
    <d v="1899-12-30T00:44:00"/>
    <d v="1899-12-30T00:49:00"/>
    <d v="1899-12-30T00:00:00"/>
    <d v="1899-12-30T00:34:00"/>
    <d v="1899-12-30T00:00:00"/>
    <s v=" 1:02"/>
    <d v="1899-12-30T00:06:00"/>
    <d v="1899-12-30T00:56:00"/>
    <d v="1899-12-30T00:00:00"/>
    <d v="1899-12-30T00:09:00"/>
    <d v="1899-12-30T00:06:00"/>
    <d v="1899-12-30T00:00:00"/>
    <d v="1899-12-30T00:00:00"/>
    <d v="1899-12-30T00:13:00"/>
    <d v="1899-12-30T00:33:00"/>
    <d v="1899-12-30T00:37:00"/>
    <d v="1899-12-30T00:01:00"/>
    <d v="1899-12-30T00:00:00"/>
    <d v="1899-12-30T00:00:00"/>
    <d v="1899-12-30T00:55:00"/>
    <d v="1899-12-30T00:03:00"/>
    <d v="1899-12-30T00:00:00"/>
    <m/>
    <m/>
    <m/>
    <x v="2"/>
    <n v="29"/>
    <d v="1899-12-30T00:10:00"/>
    <n v="14"/>
    <n v="0.48275862068965519"/>
    <n v="0"/>
    <x v="1"/>
    <x v="31"/>
  </r>
  <r>
    <s v="00046"/>
    <s v="CORDOVA ZEVALLOS, JORGE ENRIQUE"/>
    <s v="74043790"/>
    <s v="F"/>
    <d v="1899-12-30T00:00:00"/>
    <d v="1899-12-30T00:02:00"/>
    <d v="1899-12-30T00:20:00"/>
    <d v="1899-12-30T00:00:00"/>
    <d v="1899-12-30T00:17:00"/>
    <d v="1899-12-30T00:00:00"/>
    <d v="1899-12-30T00:00:00"/>
    <d v="1899-12-30T00:00:00"/>
    <d v="1899-12-30T00:10:00"/>
    <d v="1899-12-30T00:00:00"/>
    <d v="1899-12-30T00:00:00"/>
    <d v="1899-12-30T00:01:00"/>
    <d v="1899-12-30T00:06:00"/>
    <d v="1899-12-30T00:00:00"/>
    <d v="1899-12-30T00:00:00"/>
    <d v="1899-12-30T00:00:00"/>
    <d v="1899-12-30T00:04:00"/>
    <d v="1899-12-30T00:00:00"/>
    <s v="F"/>
    <s v="F"/>
    <s v="F"/>
    <s v="F"/>
    <s v="F"/>
    <s v="F"/>
    <d v="1899-12-30T00:00:00"/>
    <s v="F"/>
    <s v="F"/>
    <d v="1899-12-30T00:00:00"/>
    <m/>
    <m/>
    <m/>
    <x v="2"/>
    <n v="29"/>
    <d v="1899-12-30T00:10:00"/>
    <n v="2"/>
    <n v="6.8965517241379309E-2"/>
    <n v="9"/>
    <x v="0"/>
    <x v="33"/>
  </r>
  <r>
    <s v="00001"/>
    <s v="CACERES CORDOVA, ROCIO SANDRA"/>
    <s v="48429690"/>
    <d v="1899-12-30T00:36:00"/>
    <d v="1899-12-30T00:49:00"/>
    <d v="1899-12-30T00:33:00"/>
    <d v="1899-12-30T00:00:00"/>
    <d v="1899-12-30T00:00:00"/>
    <s v=" 1:00"/>
    <d v="1899-12-30T00:47:00"/>
    <d v="1899-12-30T00:12:00"/>
    <d v="1899-12-30T00:57:00"/>
    <d v="1899-12-30T00:22:00"/>
    <d v="1899-12-30T00:16:00"/>
    <d v="1899-12-30T00:00:00"/>
    <d v="1899-12-30T00:00:00"/>
    <d v="1899-12-30T00:45:00"/>
    <d v="1899-12-30T00:42:00"/>
    <d v="1899-12-30T00:00:00"/>
    <d v="1899-12-30T00:00:00"/>
    <d v="1899-12-30T00:07:00"/>
    <d v="1899-12-30T00:00:00"/>
    <d v="1899-12-30T00:00:00"/>
    <d v="1899-12-30T00:36:00"/>
    <d v="1899-12-30T00:40:00"/>
    <d v="1899-12-30T00:00:00"/>
    <d v="1899-12-30T00:00:00"/>
    <d v="1899-12-30T00:00:00"/>
    <d v="1899-12-30T00:00:00"/>
    <d v="1899-12-30T00:00:00"/>
    <d v="1899-12-30T00:00:00"/>
    <d v="1899-12-30T00:45:00"/>
    <d v="1899-12-30T00:57:00"/>
    <d v="1899-12-30T00:49:00"/>
    <m/>
    <x v="3"/>
    <n v="31"/>
    <d v="1899-12-30T00:10:00"/>
    <n v="15"/>
    <n v="0.4838709677419355"/>
    <n v="0"/>
    <x v="0"/>
    <x v="0"/>
  </r>
  <r>
    <s v="00003"/>
    <s v="LLANOS YAURI, LOURDES LUCIA"/>
    <s v="10602846"/>
    <d v="1899-12-30T00:54:00"/>
    <d v="1899-12-30T00:20:00"/>
    <d v="1899-12-30T00:00:00"/>
    <d v="1899-12-30T00:00:00"/>
    <d v="1899-12-30T00:00:00"/>
    <d v="1899-12-30T00:48:00"/>
    <d v="1899-12-30T00:54:00"/>
    <d v="1899-12-30T00:34:00"/>
    <d v="1899-12-30T00:51:00"/>
    <d v="1899-12-30T00:15:00"/>
    <d v="1899-12-30T00:22:00"/>
    <d v="1899-12-30T00:00:00"/>
    <d v="1899-12-30T00:00:00"/>
    <d v="1899-12-30T00:34:00"/>
    <d v="1899-12-30T00:24:00"/>
    <d v="1899-12-30T00:00:00"/>
    <d v="1899-12-30T00:50:00"/>
    <d v="1899-12-30T00:06:00"/>
    <d v="1899-12-30T00:00:00"/>
    <d v="1899-12-30T00:24:00"/>
    <d v="1899-12-30T00:44:00"/>
    <d v="1899-12-30T00:29:00"/>
    <d v="1899-12-30T00:00:00"/>
    <d v="1899-12-30T00:00:00"/>
    <d v="1899-12-30T00:35:00"/>
    <d v="1899-12-30T00:00:00"/>
    <d v="1899-12-30T00:00:00"/>
    <d v="1899-12-30T00:43:00"/>
    <d v="1899-12-30T00:43:00"/>
    <d v="1899-12-30T00:39:00"/>
    <d v="1899-12-30T00:08:00"/>
    <m/>
    <x v="3"/>
    <n v="31"/>
    <d v="1899-12-30T00:10:00"/>
    <n v="18"/>
    <n v="0.58064516129032262"/>
    <n v="0"/>
    <x v="0"/>
    <x v="1"/>
  </r>
  <r>
    <s v="00004"/>
    <s v="TICLLA RAMOS, MARIELLA"/>
    <s v="72262268"/>
    <d v="1899-12-30T00:22:00"/>
    <d v="1899-12-30T00:41:00"/>
    <d v="1899-12-30T00:17:00"/>
    <d v="1899-12-30T00:00:00"/>
    <d v="1899-12-30T00:00:00"/>
    <d v="1899-12-30T00:43:00"/>
    <d v="1899-12-30T00:21:00"/>
    <d v="1899-12-30T00:09:00"/>
    <d v="1899-12-30T00:08:00"/>
    <d v="1899-12-30T00:01:00"/>
    <d v="1899-12-30T00:03:00"/>
    <d v="1899-12-30T00:00:00"/>
    <d v="1899-12-30T00:00:00"/>
    <d v="1899-12-30T00:40:00"/>
    <d v="1899-12-30T00:00:00"/>
    <d v="1899-12-30T00:00:00"/>
    <d v="1899-12-30T00:00:00"/>
    <d v="1899-12-30T00:11:00"/>
    <d v="1899-12-30T00:00:00"/>
    <d v="1899-12-30T00:35:00"/>
    <d v="1899-12-30T00:15:00"/>
    <d v="1899-12-30T00:19:00"/>
    <d v="1899-12-30T00:00:00"/>
    <d v="1899-12-30T00:00:00"/>
    <d v="1899-12-30T00:00:00"/>
    <d v="1899-12-30T00:00:00"/>
    <d v="1899-12-30T00:00:00"/>
    <d v="1899-12-30T00:19:00"/>
    <d v="1899-12-30T00:21:00"/>
    <d v="1899-12-30T00:21:00"/>
    <d v="1899-12-30T00:04:00"/>
    <m/>
    <x v="3"/>
    <n v="31"/>
    <d v="1899-12-30T00:10:00"/>
    <n v="13"/>
    <n v="0.41935483870967744"/>
    <n v="0"/>
    <x v="0"/>
    <x v="2"/>
  </r>
  <r>
    <s v="00006"/>
    <s v="PARIONA ROSAS, RICHARD"/>
    <s v="71001774"/>
    <d v="1899-12-30T00:22:00"/>
    <d v="1899-12-30T00:08:00"/>
    <d v="1899-12-30T00:14:00"/>
    <d v="1899-12-30T00:00:00"/>
    <d v="1899-12-30T00:00:00"/>
    <d v="1899-12-30T00:28:00"/>
    <d v="1899-12-30T00:08:00"/>
    <d v="1899-12-30T00:15:00"/>
    <d v="1899-12-30T00:16:00"/>
    <d v="1899-12-30T00:05:00"/>
    <s v=" 1:09"/>
    <d v="1899-12-30T00:00:00"/>
    <d v="1899-12-30T00:00:00"/>
    <d v="1899-12-30T00:20:00"/>
    <d v="1899-12-30T00:00:00"/>
    <d v="1899-12-30T00:00:00"/>
    <d v="1899-12-30T00:41:00"/>
    <d v="1899-12-30T00:11:00"/>
    <d v="1899-12-30T00:00:00"/>
    <d v="1899-12-30T00:24:00"/>
    <d v="1899-12-30T00:21:00"/>
    <d v="1899-12-30T00:14:00"/>
    <d v="1899-12-30T00:00:00"/>
    <d v="1899-12-30T00:00:00"/>
    <d v="1899-12-30T00:11:00"/>
    <d v="1899-12-30T00:00:00"/>
    <d v="1899-12-30T00:00:00"/>
    <d v="1899-12-30T00:27:00"/>
    <d v="1899-12-30T00:00:00"/>
    <d v="1899-12-30T00:00:00"/>
    <d v="1899-12-30T00:06:00"/>
    <m/>
    <x v="3"/>
    <n v="31"/>
    <d v="1899-12-30T00:10:00"/>
    <n v="13"/>
    <n v="0.41935483870967744"/>
    <n v="0"/>
    <x v="0"/>
    <x v="3"/>
  </r>
  <r>
    <s v="00008"/>
    <s v="LLANOS ANTAURCO, STEPHEN BORIS"/>
    <s v="46183969"/>
    <d v="1899-12-30T00:11:00"/>
    <d v="1899-12-30T00:02:00"/>
    <d v="1899-12-30T00:18:00"/>
    <d v="1899-12-30T00:00:00"/>
    <d v="1899-12-30T00:00:00"/>
    <d v="1899-12-30T00:20:00"/>
    <d v="1899-12-30T00:11:00"/>
    <d v="1899-12-30T00:12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00:00"/>
    <d v="1899-12-30T00:24:00"/>
    <d v="1899-12-30T00:00:00"/>
    <d v="1899-12-30T00:00:00"/>
    <d v="1899-12-30T00:00:00"/>
    <d v="1899-12-30T00:00:00"/>
    <d v="1899-12-30T00:02:00"/>
    <d v="1899-12-30T00:00:00"/>
    <d v="1899-12-30T00:00:00"/>
    <d v="1899-12-30T00:10:00"/>
    <d v="1899-12-30T00:06:00"/>
    <d v="1899-12-30T00:14:00"/>
    <d v="1899-12-30T00:08:00"/>
    <m/>
    <x v="3"/>
    <n v="31"/>
    <d v="1899-12-30T00:10:00"/>
    <n v="7"/>
    <n v="0.22580645161290322"/>
    <n v="0"/>
    <x v="0"/>
    <x v="5"/>
  </r>
  <r>
    <s v="00010"/>
    <s v="CCAMA ARONI, LUZ MIRELLA"/>
    <s v="76575233"/>
    <d v="1899-12-30T00:00:00"/>
    <d v="1899-12-30T00:21:00"/>
    <d v="1899-12-30T00:18:00"/>
    <d v="1899-12-30T00:00:00"/>
    <d v="1899-12-30T00:00:00"/>
    <d v="1899-12-30T00:45:00"/>
    <d v="1899-12-30T00:24:00"/>
    <d v="1899-12-30T00:27:00"/>
    <d v="1899-12-30T00:30:00"/>
    <d v="1899-12-30T00:22:00"/>
    <d v="1899-12-30T00:19:00"/>
    <d v="1899-12-30T00:00:00"/>
    <d v="1899-12-30T00:00:00"/>
    <d v="1899-12-30T00:00:00"/>
    <d v="1899-12-30T00:27:00"/>
    <d v="1899-12-30T00:00:00"/>
    <d v="1899-12-30T00:32:00"/>
    <d v="1899-12-30T00:18:00"/>
    <d v="1899-12-30T00:00:00"/>
    <d v="1899-12-30T00:43:00"/>
    <d v="1899-12-30T00:28:00"/>
    <d v="1899-12-30T00:04:00"/>
    <d v="1899-12-30T00:00:00"/>
    <d v="1899-12-30T00:00:00"/>
    <d v="1899-12-30T00:12:00"/>
    <d v="1899-12-30T00:00:00"/>
    <d v="1899-12-30T00:00:00"/>
    <d v="1899-12-30T00:00:00"/>
    <d v="1899-12-30T00:00:00"/>
    <d v="1899-12-30T00:00:00"/>
    <d v="1899-12-30T00:00:00"/>
    <m/>
    <x v="3"/>
    <n v="31"/>
    <d v="1899-12-30T00:10:00"/>
    <n v="14"/>
    <n v="0.45161290322580644"/>
    <n v="0"/>
    <x v="0"/>
    <x v="6"/>
  </r>
  <r>
    <s v="00013"/>
    <s v="CAYCHO HUANCA, ANDREA ALESSANDRA"/>
    <s v="76227067"/>
    <d v="1899-12-30T00:19:00"/>
    <d v="1899-12-30T00:12:00"/>
    <d v="1899-12-30T00:20:00"/>
    <d v="1899-12-30T00:00:00"/>
    <d v="1899-12-30T00:00:00"/>
    <d v="1899-12-30T00:09:00"/>
    <d v="1899-12-30T00:20:00"/>
    <d v="1899-12-30T00:23:00"/>
    <d v="1899-12-30T00:28:00"/>
    <d v="1899-12-30T00:28:00"/>
    <d v="1899-12-30T00:15:00"/>
    <d v="1899-12-30T00:00:00"/>
    <d v="1899-12-30T00:00:00"/>
    <d v="1899-12-30T00:19:00"/>
    <d v="1899-12-30T00:00:00"/>
    <d v="1899-12-30T00:00:00"/>
    <d v="1899-12-30T00:05:00"/>
    <d v="1899-12-30T00:05:00"/>
    <d v="1899-12-30T00:00:00"/>
    <d v="1899-12-30T00:25:00"/>
    <d v="1899-12-30T00:18:00"/>
    <d v="1899-12-30T00:11:00"/>
    <d v="1899-12-30T00:00:00"/>
    <d v="1899-12-30T00:00:00"/>
    <d v="1899-12-30T00:00:00"/>
    <d v="1899-12-30T00:00:00"/>
    <d v="1899-12-30T00:00:00"/>
    <d v="1899-12-30T00:38:00"/>
    <d v="1899-12-30T00:12:00"/>
    <d v="1899-12-30T00:08:00"/>
    <d v="1899-12-30T00:20:00"/>
    <m/>
    <x v="3"/>
    <n v="31"/>
    <d v="1899-12-30T00:10:00"/>
    <n v="15"/>
    <n v="0.4838709677419355"/>
    <n v="0"/>
    <x v="1"/>
    <x v="7"/>
  </r>
  <r>
    <s v="00014"/>
    <s v="PAREDES GUILLEN, ROCIO NOEMI"/>
    <s v="09930677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3:00"/>
    <m/>
    <x v="3"/>
    <n v="31"/>
    <d v="1899-12-30T00:10:00"/>
    <n v="0"/>
    <n v="0"/>
    <n v="0"/>
    <x v="1"/>
    <x v="8"/>
  </r>
  <r>
    <s v="00017"/>
    <s v="ASIAN RAMIREZ, SILVIA LARITZA"/>
    <s v="70098369"/>
    <d v="1899-12-30T00:37:00"/>
    <d v="1899-12-30T00:28:00"/>
    <d v="1899-12-30T00:08:00"/>
    <d v="1899-12-30T00:00:00"/>
    <d v="1899-12-30T00:00:00"/>
    <s v=" 2:55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x v="3"/>
    <n v="31"/>
    <d v="1899-12-30T00:10:00"/>
    <n v="2"/>
    <n v="6.4516129032258063E-2"/>
    <n v="0"/>
    <x v="1"/>
    <x v="10"/>
  </r>
  <r>
    <s v="00021"/>
    <s v="PRETELL PINTADO, ANGELICA DIANA"/>
    <s v="72648191"/>
    <d v="1899-12-30T00:10:00"/>
    <d v="1899-12-30T00:17:00"/>
    <s v=" 1:17"/>
    <d v="1899-12-30T00:00:00"/>
    <d v="1899-12-30T00:00:00"/>
    <d v="1899-12-30T00:32:00"/>
    <d v="1899-12-30T00:22:00"/>
    <d v="1899-12-30T00:28:00"/>
    <d v="1899-12-30T00:20:00"/>
    <d v="1899-12-30T00:30:00"/>
    <d v="1899-12-30T00:15:00"/>
    <d v="1899-12-30T00:00:00"/>
    <d v="1899-12-30T00:00:00"/>
    <d v="1899-12-30T00:28:00"/>
    <d v="1899-12-30T00:23:00"/>
    <d v="1899-12-30T00:00:00"/>
    <d v="1899-12-30T00:00:00"/>
    <d v="1899-12-30T00:13:00"/>
    <d v="1899-12-30T00:00:00"/>
    <d v="1899-12-30T00:24:00"/>
    <d v="1899-12-30T00:21:00"/>
    <d v="1899-12-30T00:17:00"/>
    <d v="1899-12-30T00:00:00"/>
    <d v="1899-12-30T00:00:00"/>
    <d v="1899-12-30T00:00:00"/>
    <d v="1899-12-30T00:00:00"/>
    <d v="1899-12-30T00:00:00"/>
    <d v="1899-12-30T00:31:00"/>
    <d v="1899-12-30T00:20:00"/>
    <d v="1899-12-30T00:06:00"/>
    <d v="1899-12-30T00:14:00"/>
    <m/>
    <x v="3"/>
    <n v="31"/>
    <d v="1899-12-30T00:10:00"/>
    <n v="16"/>
    <n v="0.5161290322580645"/>
    <n v="0"/>
    <x v="1"/>
    <x v="11"/>
  </r>
  <r>
    <s v="00022"/>
    <s v="TENORIO FELIX, SAMANTHA NICOLLE"/>
    <s v="72925189"/>
    <d v="1899-12-30T00:03:00"/>
    <d v="1899-12-30T00:00:00"/>
    <d v="1899-12-30T00:00:00"/>
    <d v="1899-12-30T00:00:00"/>
    <d v="1899-12-30T00:00:00"/>
    <d v="1899-12-30T00:00:00"/>
    <d v="1899-12-30T00:03:00"/>
    <d v="1899-12-30T00:57:00"/>
    <d v="1899-12-30T00:10:00"/>
    <d v="1899-12-30T00:00:00"/>
    <s v=" 1:07"/>
    <d v="1899-12-30T00:00:00"/>
    <d v="1899-12-30T00:00:00"/>
    <s v=" 1:00"/>
    <d v="1899-12-30T00:00:00"/>
    <d v="1899-12-30T00:00:00"/>
    <d v="1899-12-30T00:09:00"/>
    <d v="1899-12-30T00:26:00"/>
    <d v="1899-12-30T00:00:00"/>
    <s v=" 1:12"/>
    <d v="1899-12-30T00:02:00"/>
    <d v="1899-12-30T00:22:00"/>
    <d v="1899-12-30T00:00:00"/>
    <d v="1899-12-30T00:00:00"/>
    <d v="1899-12-30T00:18:00"/>
    <d v="1899-12-30T00:00:00"/>
    <d v="1899-12-30T00:00:00"/>
    <d v="1899-12-30T00:00:00"/>
    <d v="1899-12-30T00:00:00"/>
    <d v="1899-12-30T00:00:00"/>
    <d v="1899-12-30T00:00:00"/>
    <m/>
    <x v="3"/>
    <n v="31"/>
    <d v="1899-12-30T00:10:00"/>
    <n v="4"/>
    <n v="0.12903225806451613"/>
    <n v="0"/>
    <x v="1"/>
    <x v="12"/>
  </r>
  <r>
    <s v="00023"/>
    <s v="LOPEZ FARIAS, CARLOS JOAQUIN"/>
    <s v="73619936"/>
    <d v="1899-12-30T00:05:00"/>
    <d v="1899-12-30T00:00:00"/>
    <d v="1899-12-30T00:00:00"/>
    <d v="1899-12-30T00:00:00"/>
    <d v="1899-12-30T00:00:00"/>
    <s v=" 1:16"/>
    <d v="1899-12-30T00:00:00"/>
    <d v="1899-12-30T00:06:00"/>
    <s v="F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12:00"/>
    <d v="1899-12-30T00:00:00"/>
    <d v="1899-12-30T00:34:00"/>
    <d v="1899-12-30T00:00:00"/>
    <d v="1899-12-30T00:22:00"/>
    <d v="1899-12-30T00:00:00"/>
    <d v="1899-12-30T00:00:00"/>
    <s v="F"/>
    <d v="1899-12-30T00:00:00"/>
    <d v="1899-12-30T00:00:00"/>
    <d v="1899-12-30T00:00:00"/>
    <d v="1899-12-30T00:00:00"/>
    <d v="1899-12-30T00:00:00"/>
    <d v="1899-12-30T00:00:00"/>
    <m/>
    <x v="3"/>
    <n v="31"/>
    <d v="1899-12-30T00:10:00"/>
    <n v="3"/>
    <n v="9.6774193548387094E-2"/>
    <n v="2"/>
    <x v="0"/>
    <x v="13"/>
  </r>
  <r>
    <s v="00024"/>
    <s v="LOPEZ CRUZ, JEFFERSON NORMAN"/>
    <s v="72754919"/>
    <d v="1899-12-30T00:14:00"/>
    <d v="1899-12-30T00:33:00"/>
    <d v="1899-12-30T00:44:00"/>
    <d v="1899-12-30T00:00:00"/>
    <d v="1899-12-30T00:00:00"/>
    <d v="1899-12-30T00:37:00"/>
    <d v="1899-12-30T00:00:00"/>
    <s v=" 2:06"/>
    <d v="1899-12-30T00:28:00"/>
    <d v="1899-12-30T00:54:00"/>
    <d v="1899-12-30T00:00:00"/>
    <d v="1899-12-30T00:00:00"/>
    <d v="1899-12-30T00:00:00"/>
    <d v="1899-12-30T00:07:00"/>
    <d v="1899-12-30T00:03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5:00"/>
    <d v="1899-12-30T00:00:00"/>
    <d v="1899-12-30T00:00:00"/>
    <d v="1899-12-30T00:20:00"/>
    <d v="1899-12-30T00:09:00"/>
    <d v="1899-12-30T00:27:00"/>
    <d v="1899-12-30T00:22:00"/>
    <m/>
    <x v="3"/>
    <n v="31"/>
    <d v="1899-12-30T00:10:00"/>
    <n v="9"/>
    <n v="0.29032258064516131"/>
    <n v="0"/>
    <x v="1"/>
    <x v="14"/>
  </r>
  <r>
    <s v="00025"/>
    <s v="CRUZ TAIPE, RONY WALDIR"/>
    <s v="76848378"/>
    <d v="1899-12-30T00:03:00"/>
    <d v="1899-12-30T00:01:00"/>
    <d v="1899-12-30T00:07:00"/>
    <d v="1899-12-30T00:00:00"/>
    <d v="1899-12-30T00:00:00"/>
    <d v="1899-12-30T00:11:00"/>
    <d v="1899-12-30T00:00:00"/>
    <d v="1899-12-30T00:12:00"/>
    <d v="1899-12-30T00:00:00"/>
    <d v="1899-12-30T00:00:00"/>
    <d v="1899-12-30T00:03:00"/>
    <d v="1899-12-30T00:00:00"/>
    <d v="1899-12-30T00:00:00"/>
    <d v="1899-12-30T00:00:00"/>
    <d v="1899-12-30T00:00:00"/>
    <d v="1899-12-30T00:00:00"/>
    <d v="1899-12-30T00:08:00"/>
    <d v="1899-12-30T00:00:00"/>
    <d v="1899-12-30T00:00:00"/>
    <d v="1899-12-30T00:02:00"/>
    <d v="1899-12-30T00:00:00"/>
    <d v="1899-12-30T00:32:00"/>
    <d v="1899-12-30T00:00:00"/>
    <d v="1899-12-30T00:00:00"/>
    <d v="1899-12-30T00:00:00"/>
    <d v="1899-12-30T00:00:00"/>
    <d v="1899-12-30T00:00:00"/>
    <d v="1899-12-30T00:10:00"/>
    <d v="1899-12-30T00:09:00"/>
    <d v="1899-12-30T00:01:00"/>
    <d v="1899-12-30T00:00:00"/>
    <m/>
    <x v="3"/>
    <n v="31"/>
    <d v="1899-12-30T00:10:00"/>
    <n v="3"/>
    <n v="9.6774193548387094E-2"/>
    <n v="0"/>
    <x v="0"/>
    <x v="15"/>
  </r>
  <r>
    <s v="00026"/>
    <s v="ANDRADE MERA, MARQUIÑO ANTONY"/>
    <s v="74768155"/>
    <d v="1899-12-30T00:11:00"/>
    <d v="1899-12-30T00:07:00"/>
    <d v="1899-12-30T00:16:00"/>
    <d v="1899-12-30T00:00:00"/>
    <d v="1899-12-30T00:00:00"/>
    <d v="1899-12-30T00:00:00"/>
    <d v="1899-12-30T00:08:00"/>
    <d v="1899-12-30T00:07:00"/>
    <d v="1899-12-30T00:00:00"/>
    <d v="1899-12-30T00:02:00"/>
    <d v="1899-12-30T00:00:00"/>
    <d v="1899-12-30T00:00:00"/>
    <d v="1899-12-30T00:00:00"/>
    <d v="1899-12-30T00:05:00"/>
    <d v="1899-12-30T00:24:00"/>
    <d v="1899-12-30T00:00:00"/>
    <d v="1899-12-30T00:06:00"/>
    <d v="1899-12-30T00:00:00"/>
    <d v="1899-12-30T00:00:00"/>
    <d v="1899-12-30T00:27:00"/>
    <d v="1899-12-30T00:00:00"/>
    <d v="1899-12-30T00:03:00"/>
    <d v="1899-12-30T00:00:00"/>
    <d v="1899-12-30T00:00:00"/>
    <d v="1899-12-30T00:00:00"/>
    <d v="1899-12-30T00:00:00"/>
    <d v="1899-12-30T00:00:00"/>
    <d v="1899-12-30T00:20:00"/>
    <s v=" 1:01"/>
    <d v="1899-12-30T00:35:00"/>
    <d v="1899-12-30T00:00:00"/>
    <m/>
    <x v="3"/>
    <n v="31"/>
    <d v="1899-12-30T00:10:00"/>
    <n v="6"/>
    <n v="0.19354838709677419"/>
    <n v="0"/>
    <x v="1"/>
    <x v="16"/>
  </r>
  <r>
    <s v="00028"/>
    <s v="CLAROS NIETO, LITTA DANERY"/>
    <s v="47329796"/>
    <d v="1899-12-30T00:26:00"/>
    <d v="1899-12-30T00:59:00"/>
    <d v="1899-12-30T00:57:00"/>
    <d v="1899-12-30T00:00:00"/>
    <d v="1899-12-30T00:00:00"/>
    <s v=" 1:28"/>
    <d v="1899-12-30T00:41:00"/>
    <d v="1899-12-30T00:10:00"/>
    <d v="1899-12-30T00:45:00"/>
    <d v="1899-12-30T00:37:00"/>
    <s v="F"/>
    <d v="1899-12-30T00:00:00"/>
    <d v="1899-12-30T00:00:00"/>
    <d v="1899-12-30T00:09:00"/>
    <d v="1899-12-30T00:35:00"/>
    <d v="1899-12-30T00:00:00"/>
    <d v="1899-12-30T00:32:00"/>
    <d v="1899-12-30T00:09:00"/>
    <d v="1899-12-30T00:00:00"/>
    <d v="1899-12-30T00:00:00"/>
    <d v="1899-12-30T00:21:00"/>
    <s v=" 1:15"/>
    <d v="1899-12-30T00:00:00"/>
    <d v="1899-12-30T00:00:00"/>
    <d v="1899-12-30T00:23:00"/>
    <d v="1899-12-30T00:00:00"/>
    <d v="1899-12-30T00:00:00"/>
    <d v="1899-12-30T00:24:00"/>
    <d v="1899-12-30T00:38:00"/>
    <s v=" 1:08"/>
    <d v="1899-12-30T00:34:00"/>
    <m/>
    <x v="3"/>
    <n v="31"/>
    <d v="1899-12-30T00:10:00"/>
    <n v="13"/>
    <n v="0.41935483870967744"/>
    <n v="1"/>
    <x v="1"/>
    <x v="18"/>
  </r>
  <r>
    <s v="00034"/>
    <s v="MEJIA TORRES, FRANCISCO JAVIER"/>
    <s v="72350882"/>
    <d v="1899-12-30T00:00:00"/>
    <d v="1899-12-30T00:00:00"/>
    <d v="1899-12-30T00:00:00"/>
    <d v="1899-12-30T00:00:00"/>
    <d v="1899-12-30T00:00:00"/>
    <d v="1899-12-30T00:02:00"/>
    <d v="1899-12-30T00:00:00"/>
    <d v="1899-12-30T00:04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4:00"/>
    <d v="1899-12-30T00:03:00"/>
    <d v="1899-12-30T00:00:00"/>
    <d v="1899-12-30T00:24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8:00"/>
    <d v="1899-12-30T00:06:00"/>
    <m/>
    <x v="3"/>
    <n v="31"/>
    <d v="1899-12-30T00:10:00"/>
    <n v="1"/>
    <n v="3.2258064516129031E-2"/>
    <n v="0"/>
    <x v="0"/>
    <x v="20"/>
  </r>
  <r>
    <s v="00035"/>
    <s v="GUEVARA CABELLO, CARLOS JEANPIERRE"/>
    <s v="74026944"/>
    <d v="1899-12-30T00:15:00"/>
    <d v="1899-12-30T00:00:00"/>
    <d v="1899-12-30T00:00:00"/>
    <d v="1899-12-30T00:00:00"/>
    <d v="1899-12-30T00:00:00"/>
    <d v="1899-12-30T00:00:00"/>
    <d v="1899-12-30T00:08:00"/>
    <d v="1899-12-30T00:14:00"/>
    <d v="1899-12-30T00:00:00"/>
    <d v="1899-12-30T00:00:00"/>
    <d v="1899-12-30T00:00:00"/>
    <d v="1899-12-30T00:00:00"/>
    <d v="1899-12-30T00:00:00"/>
    <d v="1899-12-30T00:52:00"/>
    <d v="1899-12-30T00:00:00"/>
    <d v="1899-12-30T00:00:00"/>
    <d v="1899-12-30T00:17:00"/>
    <d v="1899-12-30T00:00:00"/>
    <d v="1899-12-30T00:00:00"/>
    <d v="1899-12-30T00:58:00"/>
    <d v="1899-12-30T00:00:00"/>
    <d v="1899-12-30T00:00:00"/>
    <d v="1899-12-30T00:00:00"/>
    <d v="1899-12-30T00:00:00"/>
    <d v="1899-12-30T00:00:00"/>
    <d v="1899-12-30T00:00:00"/>
    <d v="1899-12-30T00:00:00"/>
    <d v="1899-12-30T00:17:00"/>
    <d v="1899-12-30T00:00:00"/>
    <d v="1899-12-30T00:00:00"/>
    <d v="1899-12-30T00:00:00"/>
    <m/>
    <x v="3"/>
    <n v="31"/>
    <d v="1899-12-30T00:10:00"/>
    <n v="6"/>
    <n v="0.19354838709677419"/>
    <n v="0"/>
    <x v="0"/>
    <x v="21"/>
  </r>
  <r>
    <s v="00036"/>
    <s v="AMES ESPINOZA, KIMBERLLY"/>
    <s v="75149675"/>
    <d v="1899-12-30T00:29:00"/>
    <d v="1899-12-30T00:16:00"/>
    <d v="1899-12-30T00:32:00"/>
    <d v="1899-12-30T00:00:00"/>
    <d v="1899-12-30T00:00:00"/>
    <d v="1899-12-30T00:29:00"/>
    <d v="1899-12-30T00:04:00"/>
    <d v="1899-12-30T00:24:00"/>
    <d v="1899-12-30T00:24:00"/>
    <d v="1899-12-30T00:09:00"/>
    <d v="1899-12-30T00:05:00"/>
    <d v="1899-12-30T00:00:00"/>
    <d v="1899-12-30T00:00:00"/>
    <d v="1899-12-30T00:21:00"/>
    <d v="1899-12-30T00:39:00"/>
    <d v="1899-12-30T00:00:00"/>
    <d v="1899-12-30T00:25:00"/>
    <d v="1899-12-30T00:06:00"/>
    <d v="1899-12-30T00:00:00"/>
    <d v="1899-12-30T00:00:00"/>
    <d v="1899-12-30T00:01:00"/>
    <d v="1899-12-30T00:20:00"/>
    <d v="1899-12-30T00:00:00"/>
    <d v="1899-12-30T00:00:00"/>
    <d v="1899-12-30T00:00:00"/>
    <d v="1899-12-30T00:00:00"/>
    <d v="1899-12-30T00:00:00"/>
    <d v="1899-12-30T00:27:00"/>
    <d v="1899-12-30T00:12:00"/>
    <d v="1899-12-30T00:21:00"/>
    <d v="1899-12-30T00:24:00"/>
    <m/>
    <x v="3"/>
    <n v="31"/>
    <d v="1899-12-30T00:10:00"/>
    <n v="14"/>
    <n v="0.45161290322580644"/>
    <n v="0"/>
    <x v="0"/>
    <x v="22"/>
  </r>
  <r>
    <s v="00037"/>
    <s v="ALVARADO ECHAIZ, LILIANA"/>
    <s v="15739413"/>
    <d v="1899-12-30T00:26:00"/>
    <d v="1899-12-30T00:28:00"/>
    <d v="1899-12-30T00:32:00"/>
    <d v="1899-12-30T00:00:00"/>
    <d v="1899-12-30T00:00:00"/>
    <d v="1899-12-30T00:13:00"/>
    <d v="1899-12-30T00:27:00"/>
    <d v="1899-12-30T00:19:00"/>
    <d v="1899-12-30T00:21:00"/>
    <d v="1899-12-30T00:00:00"/>
    <d v="1899-12-30T00:21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31:00"/>
    <d v="1899-12-30T00:10:00"/>
    <d v="1899-12-30T00:18:00"/>
    <d v="1899-12-30T00:00:00"/>
    <d v="1899-12-30T00:00:00"/>
    <d v="1899-12-30T00:25:00"/>
    <d v="1899-12-30T00:00:00"/>
    <d v="1899-12-30T00:00:00"/>
    <d v="1899-12-30T00:16:00"/>
    <d v="1899-12-30T00:29:00"/>
    <d v="1899-12-30T00:21:00"/>
    <d v="1899-12-30T00:24:00"/>
    <m/>
    <x v="3"/>
    <n v="31"/>
    <d v="1899-12-30T00:10:00"/>
    <n v="15"/>
    <n v="0.4838709677419355"/>
    <n v="0"/>
    <x v="0"/>
    <x v="23"/>
  </r>
  <r>
    <s v="00040"/>
    <s v="MERMA CHILA, MANUEL ENRIQUE"/>
    <s v="75925906"/>
    <d v="1899-12-30T00:01:00"/>
    <d v="1899-12-30T00:00:00"/>
    <d v="1899-12-30T00:08:00"/>
    <d v="1899-12-30T00:00:00"/>
    <d v="1899-12-30T00:00:00"/>
    <d v="1899-12-30T00:03:00"/>
    <d v="1899-12-30T00:03:00"/>
    <d v="1899-12-30T00:00:00"/>
    <d v="1899-12-30T00:00:00"/>
    <d v="1899-12-30T00:00:00"/>
    <d v="1899-12-30T00:00:00"/>
    <d v="1899-12-30T00:00:00"/>
    <d v="1899-12-30T00:00:00"/>
    <d v="1899-12-30T00:03:00"/>
    <d v="1899-12-30T00:05:00"/>
    <d v="1899-12-30T00:00:00"/>
    <d v="1899-12-30T00:06:00"/>
    <d v="1899-12-30T00:00:00"/>
    <d v="1899-12-30T00:00:00"/>
    <d v="1899-12-30T00:03:00"/>
    <d v="1899-12-30T00:00:00"/>
    <d v="1899-12-30T00:07:00"/>
    <d v="1899-12-30T00:00:00"/>
    <d v="1899-12-30T00:00:00"/>
    <d v="1899-12-30T00:00:00"/>
    <d v="1899-12-30T00:00:00"/>
    <d v="1899-12-30T00:00:00"/>
    <d v="1899-12-30T00:03:00"/>
    <d v="1899-12-30T00:00:00"/>
    <d v="1899-12-30T00:02:00"/>
    <d v="1899-12-30T00:00:00"/>
    <m/>
    <x v="3"/>
    <n v="31"/>
    <d v="1899-12-30T00:10:00"/>
    <n v="0"/>
    <n v="0"/>
    <n v="0"/>
    <x v="0"/>
    <x v="26"/>
  </r>
  <r>
    <s v="00041"/>
    <s v="SANCHEZ PANAIFO, GRECIA DANNAE"/>
    <s v="48420673"/>
    <d v="1899-12-30T00:12:00"/>
    <d v="1899-12-30T00:00:00"/>
    <d v="1899-12-30T00:00:00"/>
    <d v="1899-12-30T00:00:00"/>
    <d v="1899-12-30T00:00:00"/>
    <d v="1899-12-30T00:13:00"/>
    <d v="1899-12-30T00:15:00"/>
    <d v="1899-12-30T00:00:00"/>
    <d v="1899-12-30T00:19:00"/>
    <d v="1899-12-30T00:00:00"/>
    <d v="1899-12-30T00:05:00"/>
    <d v="1899-12-30T00:00:00"/>
    <d v="1899-12-30T00:00:00"/>
    <d v="1899-12-30T00:00:00"/>
    <d v="1899-12-30T00:34:00"/>
    <d v="1899-12-30T00:00:00"/>
    <d v="1899-12-30T00:09:00"/>
    <d v="1899-12-30T00:00:00"/>
    <d v="1899-12-30T00:00:00"/>
    <d v="1899-12-30T00:00:00"/>
    <d v="1899-12-30T00:32:00"/>
    <d v="1899-12-30T00:11:00"/>
    <d v="1899-12-30T00:00:00"/>
    <d v="1899-12-30T00:00:00"/>
    <d v="1899-12-30T00:00:00"/>
    <d v="1899-12-30T00:00:00"/>
    <d v="1899-12-30T00:00:00"/>
    <d v="1899-12-30T00:00:00"/>
    <d v="1899-12-30T00:14:00"/>
    <d v="1899-12-30T00:23:00"/>
    <d v="1899-12-30T00:00:00"/>
    <m/>
    <x v="3"/>
    <n v="31"/>
    <d v="1899-12-30T00:10:00"/>
    <n v="9"/>
    <n v="0.29032258064516131"/>
    <n v="0"/>
    <x v="0"/>
    <x v="27"/>
  </r>
  <r>
    <s v="00042"/>
    <s v="CHAVEZ GUILLEN, DIANA CAROLINA"/>
    <s v="71007128"/>
    <d v="1899-12-30T00:00:00"/>
    <d v="1899-12-30T00:00:00"/>
    <d v="1899-12-30T00:00:00"/>
    <d v="1899-12-30T00:00:00"/>
    <d v="1899-12-30T00:00:00"/>
    <d v="1899-12-30T00:08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12:00"/>
    <d v="1899-12-30T00:00:00"/>
    <d v="1899-12-30T00:00:00"/>
    <d v="1899-12-30T00:06:00"/>
    <d v="1899-12-30T00:00:00"/>
    <d v="1899-12-30T00:20:00"/>
    <d v="1899-12-30T00:00:00"/>
    <d v="1899-12-30T00:00:00"/>
    <d v="1899-12-30T00:00:00"/>
    <d v="1899-12-30T00:00:00"/>
    <d v="1899-12-30T00:00:00"/>
    <d v="1899-12-30T00:00:00"/>
    <d v="1899-12-30T00:00:00"/>
    <d v="1899-12-30T00:01:00"/>
    <d v="1899-12-30T00:00:00"/>
    <m/>
    <x v="3"/>
    <n v="31"/>
    <d v="1899-12-30T00:10:00"/>
    <n v="2"/>
    <n v="6.4516129032258063E-2"/>
    <n v="0"/>
    <x v="1"/>
    <x v="28"/>
  </r>
  <r>
    <s v="00043"/>
    <s v="URDAY CHOQUE, JONATHAN EDGARD"/>
    <s v="71432329"/>
    <d v="1899-12-30T00:02:00"/>
    <d v="1899-12-30T00:00:00"/>
    <d v="1899-12-30T00:03:00"/>
    <d v="1899-12-30T00:00:00"/>
    <d v="1899-12-30T00:00:00"/>
    <d v="1899-12-30T00:28:00"/>
    <d v="1899-12-30T00:00:00"/>
    <d v="1899-12-30T00:03:00"/>
    <d v="1899-12-30T00:00:00"/>
    <d v="1899-12-30T00:00:00"/>
    <d v="1899-12-30T00:00:00"/>
    <d v="1899-12-30T00:00:00"/>
    <d v="1899-12-30T00:00:00"/>
    <d v="1899-12-30T00:01:00"/>
    <d v="1899-12-30T00:00:00"/>
    <d v="1899-12-30T00:00:00"/>
    <d v="1899-12-30T00:02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x v="3"/>
    <n v="31"/>
    <d v="1899-12-30T00:10:00"/>
    <n v="1"/>
    <n v="3.2258064516129031E-2"/>
    <n v="0"/>
    <x v="0"/>
    <x v="29"/>
  </r>
  <r>
    <s v="00044"/>
    <s v="PEREZ VERA, MARLENE BETTY"/>
    <s v="72092638"/>
    <d v="1899-12-30T00:04:00"/>
    <d v="1899-12-30T00:00:00"/>
    <d v="1899-12-30T00:06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12:00"/>
    <d v="1899-12-30T00:00:00"/>
    <d v="1899-12-30T00:00:00"/>
    <d v="1899-12-30T00:02:00"/>
    <d v="1899-12-30T00:01:00"/>
    <d v="1899-12-30T00:19:00"/>
    <d v="1899-12-30T00:00:00"/>
    <d v="1899-12-30T00:00:00"/>
    <d v="1899-12-30T00:00:00"/>
    <d v="1899-12-30T00:00:00"/>
    <d v="1899-12-30T00:00:00"/>
    <d v="1899-12-30T00:00:00"/>
    <d v="1899-12-30T00:00:00"/>
    <d v="1899-12-30T00:01:00"/>
    <d v="1899-12-30T00:00:00"/>
    <m/>
    <x v="3"/>
    <n v="31"/>
    <d v="1899-12-30T00:10:00"/>
    <n v="2"/>
    <n v="6.4516129032258063E-2"/>
    <n v="0"/>
    <x v="1"/>
    <x v="30"/>
  </r>
  <r>
    <s v="00045"/>
    <s v="ALARCON MONTALVAN, YAEL ASHLEY"/>
    <s v="73354131"/>
    <d v="1899-12-30T00:00:00"/>
    <d v="1899-12-30T00:04:00"/>
    <d v="1899-12-30T00:06:00"/>
    <d v="1899-12-30T00:00:00"/>
    <d v="1899-12-30T00:00:00"/>
    <d v="1899-12-30T00:50:00"/>
    <d v="1899-12-30T00:00:00"/>
    <d v="1899-12-30T00:49:00"/>
    <d v="1899-12-30T00:00:00"/>
    <d v="1899-12-30T00:00:00"/>
    <d v="1899-12-30T00:25:00"/>
    <d v="1899-12-30T00:00:00"/>
    <d v="1899-12-30T00:00:00"/>
    <d v="1899-12-30T00:01:00"/>
    <d v="1899-12-30T00:41:00"/>
    <d v="1899-12-30T00:00:00"/>
    <d v="1899-12-30T00:28:00"/>
    <d v="1899-12-30T00:37:00"/>
    <d v="1899-12-30T00:00:00"/>
    <d v="1899-12-30T00:53:00"/>
    <d v="1899-12-30T00:05:00"/>
    <d v="1899-12-30T00:00:00"/>
    <d v="1899-12-30T00:00:00"/>
    <d v="1899-12-30T00:00:00"/>
    <s v="F"/>
    <d v="1899-12-30T00:00:00"/>
    <d v="1899-12-30T00:00:00"/>
    <d v="1899-12-30T00:03:00"/>
    <s v=" 1:43"/>
    <d v="1899-12-30T00:13:00"/>
    <d v="1899-12-30T00:00:00"/>
    <m/>
    <x v="3"/>
    <n v="31"/>
    <d v="1899-12-30T00:10:00"/>
    <n v="8"/>
    <n v="0.25806451612903225"/>
    <n v="1"/>
    <x v="1"/>
    <x v="31"/>
  </r>
  <r>
    <s v="00046"/>
    <s v="CORDOVA ZEVALLOS, JORGE ENRIQUE"/>
    <s v="7404379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12:00"/>
    <d v="1899-12-30T00:00:00"/>
    <d v="1899-12-30T00:00:00"/>
    <d v="1899-12-30T00:00:00"/>
    <d v="1899-12-30T00:00:00"/>
    <d v="1899-12-30T00:00:00"/>
    <d v="1899-12-30T00:00:00"/>
    <d v="1899-12-30T00:00:00"/>
    <d v="1899-12-30T00:06:00"/>
    <d v="1899-12-30T00:00:00"/>
    <d v="1899-12-30T00:24:00"/>
    <d v="1899-12-30T00:04:00"/>
    <d v="1899-12-30T00:18:00"/>
    <d v="1899-12-30T00:00:00"/>
    <d v="1899-12-30T00:00:00"/>
    <d v="1899-12-30T00:14:00"/>
    <d v="1899-12-30T00:00:00"/>
    <d v="1899-12-30T00:00:00"/>
    <d v="1899-12-30T00:14:00"/>
    <d v="1899-12-30T00:04:00"/>
    <d v="1899-12-30T00:05:00"/>
    <d v="1899-12-30T00:06:00"/>
    <m/>
    <x v="3"/>
    <n v="31"/>
    <d v="1899-12-30T00:10:00"/>
    <n v="5"/>
    <n v="0.16129032258064516"/>
    <n v="0"/>
    <x v="0"/>
    <x v="33"/>
  </r>
  <r>
    <s v="00047"/>
    <s v="PARIAPAZA DE LA CRUZ, OSCAR ANTONIO"/>
    <s v="72691267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4:00"/>
    <d v="1899-12-30T00:00:00"/>
    <d v="1899-12-30T00:00:00"/>
    <d v="1899-12-30T00:00:00"/>
    <d v="1899-12-30T00:00:00"/>
    <d v="1899-12-30T00:00:00"/>
    <d v="1899-12-30T00:04:00"/>
    <d v="1899-12-30T00:05:00"/>
    <d v="1899-12-30T00:20:00"/>
    <d v="1899-12-30T00:04:00"/>
    <m/>
    <x v="3"/>
    <n v="31"/>
    <d v="1899-12-30T00:10:00"/>
    <n v="1"/>
    <n v="3.2258064516129031E-2"/>
    <n v="0"/>
    <x v="0"/>
    <x v="34"/>
  </r>
  <r>
    <s v="00048"/>
    <s v="LUJAN VILCAÑAUPA, ALEXANDER MATIAS"/>
    <s v="75367942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1:00"/>
    <d v="1899-12-30T00:14:00"/>
    <d v="1899-12-30T00:00:00"/>
    <d v="1899-12-30T00:00:00"/>
    <d v="1899-12-30T00:03:00"/>
    <d v="1899-12-30T00:00:00"/>
    <d v="1899-12-30T00:00:00"/>
    <d v="1899-12-30T00:05:00"/>
    <d v="1899-12-30T00:00:00"/>
    <d v="1899-12-30T00:00:00"/>
    <d v="1899-12-30T00:00:00"/>
    <m/>
    <x v="3"/>
    <n v="31"/>
    <d v="1899-12-30T00:10:00"/>
    <n v="1"/>
    <n v="3.2258064516129031E-2"/>
    <n v="0"/>
    <x v="0"/>
    <x v="35"/>
  </r>
  <r>
    <s v="00049"/>
    <s v="LAURA APAZA, LEONEL ALEX"/>
    <s v="76926006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3:00"/>
    <d v="1899-12-30T00:00:00"/>
    <m/>
    <x v="3"/>
    <n v="31"/>
    <d v="1899-12-30T00:10:00"/>
    <n v="0"/>
    <n v="0"/>
    <n v="0"/>
    <x v="0"/>
    <x v="36"/>
  </r>
  <r>
    <s v="00001"/>
    <s v="CACERES CORDOVA, ROCIO SANDRA"/>
    <s v="48429690"/>
    <d v="1899-12-30T00:00:00"/>
    <d v="1899-12-30T00:00:00"/>
    <d v="1899-12-30T00:49:00"/>
    <d v="1899-12-30T00:58:00"/>
    <d v="1899-12-30T00:30:00"/>
    <d v="1899-12-30T00:00:00"/>
    <d v="1899-12-30T00:09:00"/>
    <d v="1899-12-30T00:06:00"/>
    <d v="1899-12-30T00:00:00"/>
    <s v=" 1:10"/>
    <d v="1899-12-30T00:37:00"/>
    <s v=" 1:04"/>
    <d v="1899-12-30T00:31:00"/>
    <d v="1899-12-30T00:00:00"/>
    <d v="1899-12-30T00:10:00"/>
    <d v="1899-12-30T00:00:00"/>
    <d v="1899-12-30T00:40:00"/>
    <d v="1899-12-30T00:30:00"/>
    <d v="1899-12-30T00:00:00"/>
    <d v="1899-12-30T00:41:00"/>
    <d v="1899-12-30T00:40:00"/>
    <d v="1899-12-30T00:00:00"/>
    <d v="1899-12-30T00:00:00"/>
    <d v="1899-12-30T00:57:00"/>
    <d v="1899-12-30T00:37:00"/>
    <d v="1899-12-30T00:40:00"/>
    <d v="1899-12-30T00:37:00"/>
    <d v="1899-12-30T00:39:00"/>
    <d v="1899-12-30T00:31:00"/>
    <d v="1899-12-30T00:00:00"/>
    <m/>
    <m/>
    <x v="4"/>
    <n v="30"/>
    <d v="1899-12-30T00:10:00"/>
    <n v="15"/>
    <n v="0.5"/>
    <n v="0"/>
    <x v="0"/>
    <x v="0"/>
  </r>
  <r>
    <s v="00003"/>
    <s v="LLANOS YAURI, LOURDES LUCIA"/>
    <s v="10602846"/>
    <d v="1899-12-30T00:00:00"/>
    <d v="1899-12-30T00:00:00"/>
    <d v="1899-12-30T00:51:00"/>
    <d v="1899-12-30T00:57:00"/>
    <d v="1899-12-30T00:00:00"/>
    <d v="1899-12-30T00:00:00"/>
    <d v="1899-12-30T00:15:00"/>
    <d v="1899-12-30T00:08:00"/>
    <d v="1899-12-30T00:00:00"/>
    <d v="1899-12-30T00:29:00"/>
    <d v="1899-12-30T00:36:00"/>
    <d v="1899-12-30T00:27:00"/>
    <d v="1899-12-30T00:36:00"/>
    <d v="1899-12-30T00:30:00"/>
    <d v="1899-12-30T00:02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54:00"/>
    <d v="1899-12-30T00:24:00"/>
    <d v="1899-12-30T00:00:00"/>
    <m/>
    <m/>
    <x v="4"/>
    <n v="30"/>
    <d v="1899-12-30T00:10:00"/>
    <n v="10"/>
    <n v="0.33333333333333331"/>
    <n v="0"/>
    <x v="0"/>
    <x v="1"/>
  </r>
  <r>
    <s v="00004"/>
    <s v="TICLLA RAMOS, MARIELLA"/>
    <s v="72262268"/>
    <d v="1899-12-30T00:25:00"/>
    <d v="1899-12-30T00:00:00"/>
    <d v="1899-12-30T00:32:00"/>
    <d v="1899-12-30T00:25:00"/>
    <d v="1899-12-30T00:16:00"/>
    <d v="1899-12-30T00:00:00"/>
    <d v="1899-12-30T00:12:00"/>
    <d v="1899-12-30T00:11:00"/>
    <d v="1899-12-30T00:00:00"/>
    <s v=" 1:10"/>
    <d v="1899-12-30T00:22:00"/>
    <d v="1899-12-30T00:25:00"/>
    <d v="1899-12-30T00:11:00"/>
    <d v="1899-12-30T00:19:00"/>
    <d v="1899-12-30T00:22:00"/>
    <d v="1899-12-30T00:00:00"/>
    <d v="1899-12-30T00:25:00"/>
    <d v="1899-12-30T00:22:00"/>
    <d v="1899-12-30T00:00:00"/>
    <d v="1899-12-30T00:20:00"/>
    <d v="1899-12-30T00:08:00"/>
    <d v="1899-12-30T00:13:00"/>
    <d v="1899-12-30T00:00:00"/>
    <d v="1899-12-30T00:51:00"/>
    <s v="F"/>
    <d v="1899-12-30T00:55:00"/>
    <d v="1899-12-30T00:16:00"/>
    <d v="1899-12-30T00:34:00"/>
    <d v="1899-12-30T00:10:00"/>
    <d v="1899-12-30T00:00:00"/>
    <m/>
    <m/>
    <x v="4"/>
    <n v="30"/>
    <d v="1899-12-30T00:10:00"/>
    <n v="19"/>
    <n v="0.6333333333333333"/>
    <n v="1"/>
    <x v="0"/>
    <x v="2"/>
  </r>
  <r>
    <s v="00006"/>
    <s v="PARIONA ROSAS, RICHARD"/>
    <s v="71001774"/>
    <d v="1899-12-30T00:23:00"/>
    <d v="1899-12-30T00:00:00"/>
    <d v="1899-12-30T00:09:00"/>
    <d v="1899-12-30T00:14:00"/>
    <d v="1899-12-30T00:08:00"/>
    <d v="1899-12-30T00:00:00"/>
    <d v="1899-12-30T00:19:00"/>
    <d v="1899-12-30T00:08:00"/>
    <d v="1899-12-30T00:00:00"/>
    <d v="1899-12-30T00:12:00"/>
    <d v="1899-12-30T00:16:00"/>
    <d v="1899-12-30T00:07:00"/>
    <d v="1899-12-30T00:24:00"/>
    <d v="1899-12-30T00:00:00"/>
    <d v="1899-12-30T00:14:00"/>
    <d v="1899-12-30T00:00:00"/>
    <d v="1899-12-30T00:14:00"/>
    <d v="1899-12-30T00:22:00"/>
    <d v="1899-12-30T00:00:00"/>
    <d v="1899-12-30T00:03:00"/>
    <d v="1899-12-30T00:19:00"/>
    <d v="1899-12-30T00:13:00"/>
    <d v="1899-12-30T00:00:00"/>
    <d v="1899-12-30T00:05:00"/>
    <d v="1899-12-30T00:00:00"/>
    <d v="1899-12-30T00:26:00"/>
    <d v="1899-12-30T00:19:00"/>
    <d v="1899-12-30T00:05:00"/>
    <d v="1899-12-30T00:22:00"/>
    <d v="1899-12-30T00:00:00"/>
    <m/>
    <m/>
    <x v="4"/>
    <n v="30"/>
    <d v="1899-12-30T00:10:00"/>
    <n v="14"/>
    <n v="0.46666666666666667"/>
    <n v="0"/>
    <x v="0"/>
    <x v="3"/>
  </r>
  <r>
    <s v="00008"/>
    <s v="LLANOS ANTAURCO, STEPHEN BORIS"/>
    <s v="46183969"/>
    <d v="1899-12-30T00:13:00"/>
    <d v="1899-12-30T00:00:00"/>
    <d v="1899-12-30T00:00:00"/>
    <d v="1899-12-30T00:09:00"/>
    <d v="1899-12-30T00:19:00"/>
    <d v="1899-12-30T00:00:00"/>
    <d v="1899-12-30T00:08:00"/>
    <d v="1899-12-30T00:04:00"/>
    <d v="1899-12-30T00:00:00"/>
    <d v="1899-12-30T00:00:00"/>
    <d v="1899-12-30T00:15:00"/>
    <d v="1899-12-30T00:00:00"/>
    <d v="1899-12-30T00:06:00"/>
    <d v="1899-12-30T00:00:00"/>
    <d v="1899-12-30T00:01:00"/>
    <d v="1899-12-30T00:00:00"/>
    <d v="1899-12-30T00:08:00"/>
    <d v="1899-12-30T00:26:00"/>
    <d v="1899-12-30T00:00:00"/>
    <d v="1899-12-30T00:05:00"/>
    <d v="1899-12-30T00:18:00"/>
    <d v="1899-12-30T00:00:00"/>
    <d v="1899-12-30T00:00:00"/>
    <d v="1899-12-30T00:00:00"/>
    <d v="1899-12-30T00:04:00"/>
    <d v="1899-12-30T00:25:00"/>
    <d v="1899-12-30T00:10:00"/>
    <d v="1899-12-30T00:27:00"/>
    <d v="1899-12-30T00:01:00"/>
    <d v="1899-12-30T00:00:00"/>
    <m/>
    <m/>
    <x v="4"/>
    <n v="30"/>
    <d v="1899-12-30T00:10:00"/>
    <n v="7"/>
    <n v="0.23333333333333334"/>
    <n v="0"/>
    <x v="0"/>
    <x v="5"/>
  </r>
  <r>
    <s v="00010"/>
    <s v="CCAMA ARONI, LUZ MIRELLA"/>
    <s v="76575233"/>
    <d v="1899-12-30T00:00:00"/>
    <d v="1899-12-30T00:00:00"/>
    <d v="1899-12-30T00:15:00"/>
    <d v="1899-12-30T00:28:00"/>
    <d v="1899-12-30T00:10:00"/>
    <d v="1899-12-30T00:00:00"/>
    <d v="1899-12-30T00:06:00"/>
    <d v="1899-12-30T00:21:00"/>
    <d v="1899-12-30T00:00:00"/>
    <d v="1899-12-30T00:24:00"/>
    <d v="1899-12-30T00:22:00"/>
    <d v="1899-12-30T00:21:00"/>
    <d v="1899-12-30T00:18:00"/>
    <d v="1899-12-30T00:09:00"/>
    <d v="1899-12-30T00:19:00"/>
    <d v="1899-12-30T00:00:00"/>
    <d v="1899-12-30T00:00:00"/>
    <d v="1899-12-30T00:09:00"/>
    <d v="1899-12-30T00:00:00"/>
    <d v="1899-12-30T00:21:00"/>
    <d v="1899-12-30T00:15:00"/>
    <d v="1899-12-30T00:24:00"/>
    <d v="1899-12-30T00:00:00"/>
    <d v="1899-12-30T00:09:00"/>
    <d v="1899-12-30T00:28:00"/>
    <d v="1899-12-30T00:00:00"/>
    <d v="1899-12-30T00:36:00"/>
    <d v="1899-12-30T00:18:00"/>
    <d v="1899-12-30T00:33:00"/>
    <d v="1899-12-30T00:00:00"/>
    <m/>
    <m/>
    <x v="4"/>
    <n v="30"/>
    <d v="1899-12-30T00:10:00"/>
    <n v="15"/>
    <n v="0.5"/>
    <n v="0"/>
    <x v="0"/>
    <x v="6"/>
  </r>
  <r>
    <s v="00013"/>
    <s v="CAYCHO HUANCA, ANDREA ALESSANDRA"/>
    <s v="76227067"/>
    <d v="1899-12-30T00:12:00"/>
    <d v="1899-12-30T00:00:00"/>
    <d v="1899-12-30T00:12:00"/>
    <d v="1899-12-30T00:16:00"/>
    <d v="1899-12-30T00:18:00"/>
    <d v="1899-12-30T00:00:00"/>
    <d v="1899-12-30T00:18:00"/>
    <d v="1899-12-30T00:08:00"/>
    <d v="1899-12-30T00:00:00"/>
    <d v="1899-12-30T00:12:00"/>
    <d v="1899-12-30T00:11:00"/>
    <d v="1899-12-30T00:09:00"/>
    <d v="1899-12-30T00:20:00"/>
    <d v="1899-12-30T00:11:00"/>
    <d v="1899-12-30T00:10:00"/>
    <d v="1899-12-30T00:00:00"/>
    <d v="1899-12-30T00:35:00"/>
    <d v="1899-12-30T00:17:00"/>
    <d v="1899-12-30T00:00:00"/>
    <d v="1899-12-30T00:20:00"/>
    <d v="1899-12-30T00:16:00"/>
    <d v="1899-12-30T00:01:00"/>
    <d v="1899-12-30T00:00:00"/>
    <d v="1899-12-30T00:15:00"/>
    <d v="1899-12-30T00:20:00"/>
    <d v="1899-12-30T00:30:00"/>
    <d v="1899-12-30T00:21:00"/>
    <d v="1899-12-30T00:15:00"/>
    <d v="1899-12-30T00:00:00"/>
    <d v="1899-12-30T00:00:00"/>
    <m/>
    <m/>
    <x v="4"/>
    <n v="30"/>
    <d v="1899-12-30T00:10:00"/>
    <n v="18"/>
    <n v="0.6"/>
    <n v="0"/>
    <x v="1"/>
    <x v="7"/>
  </r>
  <r>
    <s v="00021"/>
    <s v="PRETELL PINTADO, ANGELICA DIANA"/>
    <s v="72648191"/>
    <d v="1899-12-30T00:15:00"/>
    <d v="1899-12-30T00:00:00"/>
    <d v="1899-12-30T00:34:00"/>
    <d v="1899-12-30T00:34:00"/>
    <d v="1899-12-30T00:26:00"/>
    <d v="1899-12-30T00:00:00"/>
    <d v="1899-12-30T00:07:00"/>
    <d v="1899-12-30T00:13:00"/>
    <d v="1899-12-30T00:00:00"/>
    <d v="1899-12-30T00:13:00"/>
    <d v="1899-12-30T00:15:00"/>
    <d v="1899-12-30T00:10:00"/>
    <s v=" 3:12"/>
    <d v="1899-12-30T00:15:00"/>
    <d v="1899-12-30T00:22:00"/>
    <d v="1899-12-30T00:00:00"/>
    <d v="1899-12-30T00:14:00"/>
    <d v="1899-12-30T00:30:00"/>
    <d v="1899-12-30T00:00:00"/>
    <d v="1899-12-30T00:23:00"/>
    <d v="1899-12-30T00:25:00"/>
    <d v="1899-12-30T00:19:00"/>
    <d v="1899-12-30T00:00:00"/>
    <d v="1899-12-30T00:21:00"/>
    <d v="1899-12-30T00:26:00"/>
    <d v="1899-12-30T00:27:00"/>
    <d v="1899-12-30T00:29:00"/>
    <d v="1899-12-30T00:28:00"/>
    <d v="1899-12-30T00:24:00"/>
    <d v="1899-12-30T00:00:00"/>
    <m/>
    <m/>
    <x v="4"/>
    <n v="30"/>
    <d v="1899-12-30T00:10:00"/>
    <n v="20"/>
    <n v="0.66666666666666663"/>
    <n v="0"/>
    <x v="1"/>
    <x v="11"/>
  </r>
  <r>
    <s v="00023"/>
    <s v="LOPEZ FARIAS, CARLOS JOAQUIN"/>
    <s v="73619936"/>
    <d v="1899-12-30T00:00:00"/>
    <d v="1899-12-30T00:00:00"/>
    <d v="1899-12-30T00:08:00"/>
    <d v="1899-12-30T00:02:00"/>
    <d v="1899-12-30T00:04:00"/>
    <d v="1899-12-30T00:00:00"/>
    <d v="1899-12-30T00:14:00"/>
    <d v="1899-12-30T00:12:00"/>
    <d v="1899-12-30T00:00:00"/>
    <d v="1899-12-30T00:08:00"/>
    <d v="1899-12-30T00:00:00"/>
    <d v="1899-12-30T00:00:00"/>
    <d v="1899-12-30T00:00:00"/>
    <d v="1899-12-30T00:00:00"/>
    <d v="1899-12-30T00:01:00"/>
    <d v="1899-12-30T00:00:00"/>
    <d v="1899-12-30T00:00:00"/>
    <d v="1899-12-30T00:15:00"/>
    <d v="1899-12-30T00:00:00"/>
    <d v="1899-12-30T00:03:00"/>
    <d v="1899-12-30T00:06:00"/>
    <d v="1899-12-30T00:22:00"/>
    <d v="1899-12-30T00:00:00"/>
    <d v="1899-12-30T00:04:00"/>
    <d v="1899-12-30T00:00:00"/>
    <d v="1899-12-30T00:21:00"/>
    <d v="1899-12-30T00:00:00"/>
    <d v="1899-12-30T00:00:00"/>
    <d v="1899-12-30T00:00:00"/>
    <d v="1899-12-30T00:00:00"/>
    <m/>
    <m/>
    <x v="4"/>
    <n v="30"/>
    <d v="1899-12-30T00:10:00"/>
    <n v="5"/>
    <n v="0.16666666666666666"/>
    <n v="0"/>
    <x v="0"/>
    <x v="13"/>
  </r>
  <r>
    <s v="00024"/>
    <s v="LOPEZ CRUZ, JEFFERSON NORMAN"/>
    <s v="72754919"/>
    <d v="1899-12-30T00:15:00"/>
    <d v="1899-12-30T00:00:00"/>
    <d v="1899-12-30T00:21:00"/>
    <d v="1899-12-30T00:24:00"/>
    <d v="1899-12-30T00:46:00"/>
    <d v="1899-12-30T00:00:00"/>
    <d v="1899-12-30T00:07:00"/>
    <d v="1899-12-30T00:00:00"/>
    <d v="1899-12-30T00:00:00"/>
    <d v="1899-12-30T00:03:00"/>
    <d v="1899-12-30T00:01:00"/>
    <s v="F"/>
    <d v="1899-12-30T00:58:00"/>
    <d v="1899-12-30T00:26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x v="4"/>
    <n v="30"/>
    <d v="1899-12-30T00:10:00"/>
    <n v="6"/>
    <n v="0.2"/>
    <n v="1"/>
    <x v="1"/>
    <x v="14"/>
  </r>
  <r>
    <s v="00025"/>
    <s v="CRUZ TAIPE, RONY WALDIR"/>
    <s v="76848378"/>
    <d v="1899-12-30T00:00:00"/>
    <d v="1899-12-30T00:00:00"/>
    <d v="1899-12-30T00:00:00"/>
    <d v="1899-12-30T00:03:00"/>
    <d v="1899-12-30T00:00:00"/>
    <d v="1899-12-30T00:00:00"/>
    <d v="1899-12-30T00:03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3:00"/>
    <d v="1899-12-30T00:04:00"/>
    <d v="1899-12-30T00:00:00"/>
    <d v="1899-12-30T00:13:00"/>
    <d v="1899-12-30T00:00:00"/>
    <d v="1899-12-30T00:12:00"/>
    <d v="1899-12-30T00:00:00"/>
    <d v="1899-12-30T00:03:00"/>
    <d v="1899-12-30T00:00:00"/>
    <d v="1899-12-30T00:19:00"/>
    <d v="1899-12-30T00:06:00"/>
    <d v="1899-12-30T00:26:00"/>
    <d v="1899-12-30T00:00:00"/>
    <d v="1899-12-30T00:00:00"/>
    <m/>
    <m/>
    <x v="4"/>
    <n v="30"/>
    <d v="1899-12-30T00:10:00"/>
    <n v="4"/>
    <n v="0.13333333333333333"/>
    <n v="0"/>
    <x v="0"/>
    <x v="15"/>
  </r>
  <r>
    <s v="00026"/>
    <s v="ANDRADE MERA, MARQUIÑO ANTONY"/>
    <s v="74768155"/>
    <d v="1899-12-30T00:00:00"/>
    <d v="1899-12-30T00:00:00"/>
    <d v="1899-12-30T00:35:00"/>
    <d v="1899-12-30T00:00:00"/>
    <d v="1899-12-30T00:06:00"/>
    <d v="1899-12-30T00:00:00"/>
    <d v="1899-12-30T00:29:00"/>
    <d v="1899-12-30T00:08:00"/>
    <d v="1899-12-30T00:00:00"/>
    <d v="1899-12-30T00:14:00"/>
    <d v="1899-12-30T00:00:00"/>
    <d v="1899-12-30T00:04:00"/>
    <d v="1899-12-30T00:02:00"/>
    <d v="1899-12-30T00:00:00"/>
    <d v="1899-12-30T00:08:00"/>
    <d v="1899-12-30T00:00:00"/>
    <d v="1899-12-30T00:13:00"/>
    <s v="F"/>
    <d v="1899-12-30T00:00:00"/>
    <d v="1899-12-30T00:00:00"/>
    <d v="1899-12-30T00:11:00"/>
    <d v="1899-12-30T00:22:00"/>
    <d v="1899-12-30T00:00:00"/>
    <s v=" 3:40"/>
    <d v="1899-12-30T00:04:00"/>
    <d v="1899-12-30T00:29:00"/>
    <d v="1899-12-30T00:06:00"/>
    <d v="1899-12-30T00:11:00"/>
    <d v="1899-12-30T00:17:00"/>
    <d v="1899-12-30T00:00:00"/>
    <m/>
    <m/>
    <x v="4"/>
    <n v="30"/>
    <d v="1899-12-30T00:10:00"/>
    <n v="9"/>
    <n v="0.3"/>
    <n v="1"/>
    <x v="1"/>
    <x v="16"/>
  </r>
  <r>
    <s v="00028"/>
    <s v="CLAROS NIETO, LITTA DANERY"/>
    <s v="47329796"/>
    <d v="1899-12-30T00:40:00"/>
    <d v="1899-12-30T00:00:00"/>
    <d v="1899-12-30T00:29:00"/>
    <d v="1899-12-30T00:37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x v="4"/>
    <n v="30"/>
    <d v="1899-12-30T00:10:00"/>
    <n v="3"/>
    <n v="0.1"/>
    <n v="0"/>
    <x v="1"/>
    <x v="18"/>
  </r>
  <r>
    <s v="00034"/>
    <s v="MEJIA TORRES, FRANCISCO JAVIER"/>
    <s v="72350882"/>
    <d v="1899-12-30T00:04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4:00"/>
    <d v="1899-12-30T00:04:00"/>
    <d v="1899-12-30T00:00:00"/>
    <d v="1899-12-30T00:00:00"/>
    <d v="1899-12-30T00:00:00"/>
    <d v="1899-12-30T00:02:00"/>
    <d v="1899-12-30T00:00:00"/>
    <d v="1899-12-30T00:00:00"/>
    <d v="1899-12-30T00:07:00"/>
    <d v="1899-12-30T00:00:00"/>
    <d v="1899-12-30T00:00:00"/>
    <d v="1899-12-30T00:00:00"/>
    <d v="1899-12-30T00:01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x v="4"/>
    <n v="30"/>
    <d v="1899-12-30T00:10:00"/>
    <n v="0"/>
    <n v="0"/>
    <n v="0"/>
    <x v="0"/>
    <x v="20"/>
  </r>
  <r>
    <s v="00035"/>
    <s v="GUEVARA CABELLO, CARLOS JEANPIERRE"/>
    <s v="74026944"/>
    <d v="1899-12-30T00:00:00"/>
    <d v="1899-12-30T00:00:00"/>
    <d v="1899-12-30T00:00:00"/>
    <d v="1899-12-30T00:11:00"/>
    <d v="1899-12-30T00:20:00"/>
    <d v="1899-12-30T00:00:00"/>
    <d v="1899-12-30T00:04:00"/>
    <d v="1899-12-30T00:00:00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01:00"/>
    <d v="1899-12-30T00:07:00"/>
    <d v="1899-12-30T00:00:00"/>
    <d v="1899-12-30T00:00:00"/>
    <d v="1899-12-30T00:00:00"/>
    <d v="1899-12-30T00:01:00"/>
    <d v="1899-12-30T00:00:00"/>
    <d v="1899-12-30T00:19:00"/>
    <d v="1899-12-30T00:08:00"/>
    <d v="1899-12-30T00:24:00"/>
    <d v="1899-12-30T00:00:00"/>
    <d v="1899-12-30T00:00:00"/>
    <d v="1899-12-30T00:00:00"/>
    <d v="1899-12-30T00:00:00"/>
    <m/>
    <m/>
    <x v="4"/>
    <n v="30"/>
    <d v="1899-12-30T00:10:00"/>
    <n v="4"/>
    <n v="0.13333333333333333"/>
    <n v="0"/>
    <x v="0"/>
    <x v="21"/>
  </r>
  <r>
    <s v="00036"/>
    <s v="AMES ESPINOZA, KIMBERLLY"/>
    <s v="75149675"/>
    <d v="1899-12-30T00:52:00"/>
    <d v="1899-12-30T00:00:00"/>
    <d v="1899-12-30T00:20:00"/>
    <d v="1899-12-30T00:00:00"/>
    <d v="1899-12-30T00:16:00"/>
    <d v="1899-12-30T00:00:00"/>
    <d v="1899-12-30T00:18:00"/>
    <d v="1899-12-30T00:46:00"/>
    <d v="1899-12-30T00:00:00"/>
    <d v="1899-12-30T00:19:00"/>
    <d v="1899-12-30T00:09:00"/>
    <d v="1899-12-30T00:29:00"/>
    <d v="1899-12-30T00:00:00"/>
    <d v="1899-12-30T00:36:00"/>
    <d v="1899-12-30T00:14:00"/>
    <d v="1899-12-30T00:00:00"/>
    <d v="1899-12-30T00:12:00"/>
    <d v="1899-12-30T00:32:00"/>
    <d v="1899-12-30T00:00:00"/>
    <d v="1899-12-30T00:46:00"/>
    <d v="1899-12-30T00:00:00"/>
    <d v="1899-12-30T00:03:00"/>
    <d v="1899-12-30T00:00:00"/>
    <d v="1899-12-30T00:00:00"/>
    <d v="1899-12-30T00:19:00"/>
    <d v="1899-12-30T00:00:00"/>
    <d v="1899-12-30T00:42:00"/>
    <d v="1899-12-30T00:51:00"/>
    <d v="1899-12-30T00:00:00"/>
    <d v="1899-12-30T00:00:00"/>
    <m/>
    <m/>
    <x v="4"/>
    <n v="30"/>
    <d v="1899-12-30T00:10:00"/>
    <n v="15"/>
    <n v="0.5"/>
    <n v="0"/>
    <x v="0"/>
    <x v="22"/>
  </r>
  <r>
    <s v="00037"/>
    <s v="ALVARADO ECHAIZ, LILIANA"/>
    <s v="15739413"/>
    <d v="1899-12-30T00:16:00"/>
    <d v="1899-12-30T00:00:00"/>
    <d v="1899-12-30T00:00:00"/>
    <d v="1899-12-30T00:25:00"/>
    <d v="1899-12-30T00:09:00"/>
    <d v="1899-12-30T00:00:00"/>
    <d v="1899-12-30T00:19:00"/>
    <d v="1899-12-30T00:17:00"/>
    <d v="1899-12-30T00:00:00"/>
    <d v="1899-12-30T00:19:00"/>
    <d v="1899-12-30T00:23:00"/>
    <d v="1899-12-30T00:00:00"/>
    <d v="1899-12-30T00:25:00"/>
    <d v="1899-12-30T00:25:00"/>
    <d v="1899-12-30T00:13:00"/>
    <d v="1899-12-30T00:00:00"/>
    <d v="1899-12-30T00:29:00"/>
    <d v="1899-12-30T00:00:00"/>
    <d v="1899-12-30T00:00:00"/>
    <d v="1899-12-30T00:37:00"/>
    <d v="1899-12-30T00:39:00"/>
    <d v="1899-12-30T00:13:00"/>
    <d v="1899-12-30T00:00:00"/>
    <d v="1899-12-30T00:37:00"/>
    <d v="1899-12-30T00:40:00"/>
    <d v="1899-12-30T00:38:00"/>
    <d v="1899-12-30T00:18:00"/>
    <d v="1899-12-30T00:22:00"/>
    <d v="1899-12-30T00:15:00"/>
    <d v="1899-12-30T00:00:00"/>
    <m/>
    <m/>
    <x v="4"/>
    <n v="30"/>
    <d v="1899-12-30T00:10:00"/>
    <n v="19"/>
    <n v="0.6333333333333333"/>
    <n v="0"/>
    <x v="0"/>
    <x v="23"/>
  </r>
  <r>
    <s v="00040"/>
    <s v="MERMA CHILA, MANUEL ENRIQUE"/>
    <s v="75925906"/>
    <d v="1899-12-30T00:00:00"/>
    <d v="1899-12-30T00:00:00"/>
    <d v="1899-12-30T00:00:00"/>
    <d v="1899-12-30T00:01:00"/>
    <d v="1899-12-30T00:00:00"/>
    <d v="1899-12-30T00:00:00"/>
    <d v="1899-12-30T00:00:00"/>
    <d v="1899-12-30T00:00:00"/>
    <d v="1899-12-30T00:00:00"/>
    <d v="1899-12-30T00:02:00"/>
    <d v="1899-12-30T00:12:00"/>
    <d v="1899-12-30T00:06:00"/>
    <d v="1899-12-30T00:03:00"/>
    <d v="1899-12-30T00:01:00"/>
    <d v="1899-12-30T00:00:00"/>
    <d v="1899-12-30T00:00:00"/>
    <d v="1899-12-30T00:01:00"/>
    <d v="1899-12-30T00:00:00"/>
    <d v="1899-12-30T00:00:00"/>
    <d v="1899-12-30T00:00:00"/>
    <d v="1899-12-30T00:00:00"/>
    <d v="1899-12-30T00:00:00"/>
    <d v="1899-12-30T00:00:00"/>
    <d v="1899-12-30T00:03:00"/>
    <d v="1899-12-30T00:02:00"/>
    <d v="1899-12-30T00:09:00"/>
    <d v="1899-12-30T00:00:00"/>
    <d v="1899-12-30T00:14:00"/>
    <d v="1899-12-30T00:00:00"/>
    <d v="1899-12-30T00:00:00"/>
    <m/>
    <m/>
    <x v="4"/>
    <n v="30"/>
    <d v="1899-12-30T00:10:00"/>
    <n v="2"/>
    <n v="6.6666666666666666E-2"/>
    <n v="0"/>
    <x v="0"/>
    <x v="26"/>
  </r>
  <r>
    <s v="00041"/>
    <s v="SANCHEZ PANAIFO, GRECIA DANNAE"/>
    <s v="48420673"/>
    <d v="1899-12-30T00:32:00"/>
    <d v="1899-12-30T00:00:00"/>
    <d v="1899-12-30T00:02:00"/>
    <d v="1899-12-30T00:00:00"/>
    <d v="1899-12-30T00:17:00"/>
    <d v="1899-12-30T00:00:00"/>
    <d v="1899-12-30T00:00:00"/>
    <d v="1899-12-30T00:49:00"/>
    <d v="1899-12-30T00:00:00"/>
    <d v="1899-12-30T00:59:00"/>
    <d v="1899-12-30T00:16:00"/>
    <d v="1899-12-30T00:00:00"/>
    <d v="1899-12-30T00:16:00"/>
    <d v="1899-12-30T00:00:00"/>
    <d v="1899-12-30T00:00:00"/>
    <d v="1899-12-30T00:00:00"/>
    <d v="1899-12-30T00:05:00"/>
    <d v="1899-12-30T00:00:00"/>
    <d v="1899-12-30T00:00:00"/>
    <d v="1899-12-30T00:00:00"/>
    <d v="1899-12-30T00:07:00"/>
    <d v="1899-12-30T00:48:00"/>
    <d v="1899-12-30T00:00:00"/>
    <d v="1899-12-30T00:00:00"/>
    <d v="1899-12-30T00:50:00"/>
    <d v="1899-12-30T00:00:00"/>
    <d v="1899-12-30T00:12:00"/>
    <d v="1899-12-30T00:01:00"/>
    <d v="1899-12-30T00:29:00"/>
    <d v="1899-12-30T00:00:00"/>
    <m/>
    <m/>
    <x v="4"/>
    <n v="30"/>
    <d v="1899-12-30T00:10:00"/>
    <n v="10"/>
    <n v="0.33333333333333331"/>
    <n v="0"/>
    <x v="0"/>
    <x v="27"/>
  </r>
  <r>
    <s v="00042"/>
    <s v="CHAVEZ GUILLEN, DIANA CAROLINA"/>
    <s v="71007128"/>
    <d v="1899-12-30T00:20:00"/>
    <d v="1899-12-30T00:00:00"/>
    <d v="1899-12-30T00:00:00"/>
    <d v="1899-12-30T00:12:00"/>
    <d v="1899-12-30T00:01:00"/>
    <d v="1899-12-30T00:00:00"/>
    <d v="1899-12-30T00:06:00"/>
    <d v="1899-12-30T00:00:00"/>
    <d v="1899-12-30T00:00:00"/>
    <d v="1899-12-30T00:00:00"/>
    <d v="1899-12-30T00:01:00"/>
    <d v="1899-12-30T00:01:00"/>
    <d v="1899-12-30T00:05:00"/>
    <d v="1899-12-30T00:02:00"/>
    <d v="1899-12-30T00:07:00"/>
    <d v="1899-12-30T00:00:00"/>
    <d v="1899-12-30T00:00:00"/>
    <d v="1899-12-30T00:00:00"/>
    <d v="1899-12-30T00:00:00"/>
    <s v=" 1:31"/>
    <d v="1899-12-30T00:00:00"/>
    <d v="1899-12-30T00:00:00"/>
    <d v="1899-12-30T00:00:00"/>
    <d v="1899-12-30T00:07:00"/>
    <d v="1899-12-30T00:12:00"/>
    <d v="1899-12-30T00:03:00"/>
    <d v="1899-12-30T00:04:00"/>
    <d v="1899-12-30T00:14:00"/>
    <d v="1899-12-30T00:08:00"/>
    <d v="1899-12-30T00:00:00"/>
    <m/>
    <m/>
    <x v="4"/>
    <n v="30"/>
    <d v="1899-12-30T00:10:00"/>
    <n v="4"/>
    <n v="0.13333333333333333"/>
    <n v="0"/>
    <x v="1"/>
    <x v="28"/>
  </r>
  <r>
    <s v="00043"/>
    <s v="URDAY CHOQUE, JONATHAN EDGARD"/>
    <s v="71432329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3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7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x v="4"/>
    <n v="30"/>
    <d v="1899-12-30T00:10:00"/>
    <n v="0"/>
    <n v="0"/>
    <n v="0"/>
    <x v="0"/>
    <x v="29"/>
  </r>
  <r>
    <s v="00044"/>
    <s v="PEREZ VERA, MARLENE BETTY"/>
    <s v="72092638"/>
    <d v="1899-12-30T00:00:00"/>
    <d v="1899-12-30T00:00:00"/>
    <d v="1899-12-30T00:00:00"/>
    <s v=" 4:20"/>
    <d v="1899-12-30T00:01:00"/>
    <d v="1899-12-30T00:00:00"/>
    <d v="1899-12-30T00:06:00"/>
    <d v="1899-12-30T00:03:00"/>
    <d v="1899-12-30T00:00:00"/>
    <d v="1899-12-30T00:07:00"/>
    <d v="1899-12-30T00:02:00"/>
    <d v="1899-12-30T00:04:00"/>
    <d v="1899-12-30T00:02:00"/>
    <d v="1899-12-30T00:02:00"/>
    <d v="1899-12-30T00:01:00"/>
    <d v="1899-12-30T00:00:00"/>
    <d v="1899-12-30T00:00:00"/>
    <d v="1899-12-30T00:02:00"/>
    <d v="1899-12-30T00:00:00"/>
    <d v="1899-12-30T00:02:00"/>
    <d v="1899-12-30T00:00:00"/>
    <d v="1899-12-30T00:00:00"/>
    <d v="1899-12-30T00:00:00"/>
    <d v="1899-12-30T00:00:00"/>
    <d v="1899-12-30T00:02:00"/>
    <d v="1899-12-30T00:03:00"/>
    <d v="1899-12-30T00:03:00"/>
    <d v="1899-12-30T00:17:00"/>
    <d v="1899-12-30T00:13:00"/>
    <d v="1899-12-30T00:00:00"/>
    <m/>
    <m/>
    <x v="4"/>
    <n v="30"/>
    <d v="1899-12-30T00:10:00"/>
    <n v="2"/>
    <n v="6.6666666666666666E-2"/>
    <n v="0"/>
    <x v="1"/>
    <x v="30"/>
  </r>
  <r>
    <s v="00045"/>
    <s v="ALARCON MONTALVAN, YAEL ASHLEY"/>
    <s v="73354131"/>
    <s v="F"/>
    <d v="1899-12-30T00:00:00"/>
    <s v=" 1:08"/>
    <s v=" 1:10"/>
    <d v="1899-12-30T00:42:00"/>
    <d v="1899-12-30T00:00:00"/>
    <s v=" 1:46"/>
    <s v=" 1:11"/>
    <d v="1899-12-30T00:00:00"/>
    <d v="1899-12-30T00:13:00"/>
    <d v="1899-12-30T00:50:00"/>
    <d v="1899-12-30T00:03:00"/>
    <d v="1899-12-30T00:02:00"/>
    <d v="1899-12-30T00:54:00"/>
    <d v="1899-12-30T00:01:00"/>
    <d v="1899-12-30T00:00:00"/>
    <d v="1899-12-30T00:55:00"/>
    <s v=" 3:09"/>
    <d v="1899-12-30T00:00:00"/>
    <d v="1899-12-30T00:06:00"/>
    <d v="1899-12-30T00:05:00"/>
    <d v="1899-12-30T00:00:00"/>
    <d v="1899-12-30T00:00:00"/>
    <s v=" 1:52"/>
    <s v=" 1:00"/>
    <d v="1899-12-30T00:22:00"/>
    <s v=" 1:14"/>
    <d v="1899-12-30T00:00:00"/>
    <d v="1899-12-30T00:08:00"/>
    <d v="1899-12-30T00:00:00"/>
    <m/>
    <m/>
    <x v="4"/>
    <n v="30"/>
    <d v="1899-12-30T00:10:00"/>
    <n v="6"/>
    <n v="0.2"/>
    <n v="1"/>
    <x v="1"/>
    <x v="31"/>
  </r>
  <r>
    <s v="00046"/>
    <s v="CORDOVA ZEVALLOS, JORGE ENRIQUE"/>
    <s v="74043790"/>
    <d v="1899-12-30T00:00:00"/>
    <d v="1899-12-30T00:00:00"/>
    <d v="1899-12-30T00:03:00"/>
    <d v="1899-12-30T00:15:00"/>
    <d v="1899-12-30T00:30:00"/>
    <d v="1899-12-30T00:00:00"/>
    <d v="1899-12-30T00:06:00"/>
    <d v="1899-12-30T00:04:00"/>
    <d v="1899-12-30T00:00:00"/>
    <d v="1899-12-30T00:02:00"/>
    <d v="1899-12-30T00:03:00"/>
    <d v="1899-12-30T00:02:00"/>
    <s v="F"/>
    <s v="F"/>
    <s v="F"/>
    <d v="1899-12-30T00:00:00"/>
    <d v="1899-12-30T00:00:00"/>
    <s v=" 3:50"/>
    <d v="1899-12-30T00:00:00"/>
    <d v="1899-12-30T00:00:00"/>
    <d v="1899-12-30T00:07:00"/>
    <d v="1899-12-30T00:27:00"/>
    <d v="1899-12-30T00:00:00"/>
    <d v="1899-12-30T00:26:00"/>
    <d v="1899-12-30T00:08:00"/>
    <d v="1899-12-30T00:21:00"/>
    <d v="1899-12-30T00:23:00"/>
    <d v="1899-12-30T00:00:00"/>
    <d v="1899-12-30T00:07:00"/>
    <d v="1899-12-30T00:00:00"/>
    <m/>
    <m/>
    <x v="4"/>
    <n v="30"/>
    <d v="1899-12-30T00:10:00"/>
    <n v="6"/>
    <n v="0.2"/>
    <n v="3"/>
    <x v="0"/>
    <x v="33"/>
  </r>
  <r>
    <s v="00047"/>
    <s v="PARIAPAZA DE LA CRUZ, OSCAR ANTONIO"/>
    <s v="72691267"/>
    <d v="1899-12-30T00:05:00"/>
    <d v="1899-12-30T00:00:00"/>
    <d v="1899-12-30T00:09:00"/>
    <d v="1899-12-30T00:06:00"/>
    <d v="1899-12-30T00:08:00"/>
    <d v="1899-12-30T00:00:00"/>
    <d v="1899-12-30T00:01:00"/>
    <d v="1899-12-30T00:08:00"/>
    <d v="1899-12-30T00:00:00"/>
    <d v="1899-12-30T00:06:00"/>
    <d v="1899-12-30T00:16:00"/>
    <d v="1899-12-30T00:34:00"/>
    <d v="1899-12-30T00:06:00"/>
    <d v="1899-12-30T00:00:00"/>
    <d v="1899-12-30T00:10:00"/>
    <d v="1899-12-30T00:00:00"/>
    <d v="1899-12-30T00:12:00"/>
    <d v="1899-12-30T00:14:00"/>
    <d v="1899-12-30T00:00:00"/>
    <d v="1899-12-30T00:05:00"/>
    <d v="1899-12-30T00:09:00"/>
    <d v="1899-12-30T00:08:00"/>
    <d v="1899-12-30T00:00:00"/>
    <d v="1899-12-30T00:04:00"/>
    <d v="1899-12-30T00:11:00"/>
    <d v="1899-12-30T00:22:00"/>
    <d v="1899-12-30T00:09:00"/>
    <d v="1899-12-30T00:03:00"/>
    <d v="1899-12-30T00:00:00"/>
    <d v="1899-12-30T00:00:00"/>
    <m/>
    <m/>
    <x v="4"/>
    <n v="30"/>
    <d v="1899-12-30T00:10:00"/>
    <n v="6"/>
    <n v="0.2"/>
    <n v="0"/>
    <x v="0"/>
    <x v="34"/>
  </r>
  <r>
    <s v="00048"/>
    <s v="LUJAN VILCAÑAUPA, ALEXANDER MATIAS"/>
    <s v="75367942"/>
    <d v="1899-12-30T00:04:00"/>
    <d v="1899-12-30T00:00:00"/>
    <d v="1899-12-30T00:00:00"/>
    <d v="1899-12-30T00:03:00"/>
    <d v="1899-12-30T00:03:00"/>
    <d v="1899-12-30T00:00:00"/>
    <d v="1899-12-30T00:00:00"/>
    <d v="1899-12-30T00:03:00"/>
    <d v="1899-12-30T00:00:00"/>
    <d v="1899-12-30T00:00:00"/>
    <d v="1899-12-30T00:00:00"/>
    <d v="1899-12-30T00:00:00"/>
    <d v="1899-12-30T00:03:00"/>
    <d v="1899-12-30T00:00:00"/>
    <d v="1899-12-30T00:02:00"/>
    <d v="1899-12-30T00:00:00"/>
    <d v="1899-12-30T00:03:00"/>
    <d v="1899-12-30T00:15:00"/>
    <d v="1899-12-30T00:00:00"/>
    <d v="1899-12-30T00:03:00"/>
    <d v="1899-12-30T00:00:00"/>
    <d v="1899-12-30T00:06:00"/>
    <d v="1899-12-30T00:00:00"/>
    <d v="1899-12-30T00:06:00"/>
    <d v="1899-12-30T00:11:00"/>
    <d v="1899-12-30T00:22:00"/>
    <d v="1899-12-30T00:09:00"/>
    <d v="1899-12-30T00:03:00"/>
    <d v="1899-12-30T00:00:00"/>
    <d v="1899-12-30T00:00:00"/>
    <m/>
    <m/>
    <x v="4"/>
    <n v="30"/>
    <d v="1899-12-30T00:10:00"/>
    <n v="3"/>
    <n v="0.1"/>
    <n v="0"/>
    <x v="0"/>
    <x v="35"/>
  </r>
  <r>
    <s v="00049"/>
    <s v="LAURA APAZA, LEONEL ALEX"/>
    <s v="76926006"/>
    <d v="1899-12-30T00:00:00"/>
    <d v="1899-12-30T00:00:00"/>
    <d v="1899-12-30T00:00:00"/>
    <d v="1899-12-30T00:03:00"/>
    <d v="1899-12-30T00:00:00"/>
    <d v="1899-12-30T00:00:00"/>
    <d v="1899-12-30T00:00:00"/>
    <d v="1899-12-30T00:00:00"/>
    <d v="1899-12-30T00:00:00"/>
    <d v="1899-12-30T00:01:00"/>
    <d v="1899-12-30T00:01:00"/>
    <d v="1899-12-30T00:00:00"/>
    <d v="1899-12-30T00:06:00"/>
    <d v="1899-12-30T00:00:00"/>
    <d v="1899-12-30T00:08:00"/>
    <d v="1899-12-30T00:00:00"/>
    <d v="1899-12-30T00:05:00"/>
    <d v="1899-12-30T00:00:00"/>
    <d v="1899-12-30T00:00:00"/>
    <d v="1899-12-30T00:00:00"/>
    <d v="1899-12-30T00:04:00"/>
    <d v="1899-12-30T00:00:00"/>
    <d v="1899-12-30T00:00:00"/>
    <d v="1899-12-30T00:14:00"/>
    <d v="1899-12-30T00:00:00"/>
    <d v="1899-12-30T00:00:00"/>
    <d v="1899-12-30T00:00:00"/>
    <d v="1899-12-30T00:08:00"/>
    <d v="1899-12-30T00:05:00"/>
    <d v="1899-12-30T00:00:00"/>
    <m/>
    <m/>
    <x v="4"/>
    <n v="30"/>
    <d v="1899-12-30T00:10:00"/>
    <n v="1"/>
    <n v="3.3333333333333333E-2"/>
    <n v="0"/>
    <x v="0"/>
    <x v="36"/>
  </r>
  <r>
    <s v="00050"/>
    <s v="LAURA VICENTE, DARWIN FERNANDO"/>
    <s v="72167014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00:00"/>
    <d v="1899-12-30T00:00:00"/>
    <d v="1899-12-30T00:00:00"/>
    <d v="1899-12-30T00:00:00"/>
    <d v="1899-12-30T00:00:00"/>
    <d v="1899-12-30T00:01:00"/>
    <d v="1899-12-30T00:00:00"/>
    <d v="1899-12-30T00:00:00"/>
    <d v="1899-12-30T00:00:00"/>
    <d v="1899-12-30T00:22:00"/>
    <d v="1899-12-30T00:00:00"/>
    <d v="1899-12-30T00:00:00"/>
    <d v="1899-12-30T00:00:00"/>
    <d v="1899-12-30T00:00:00"/>
    <m/>
    <m/>
    <x v="4"/>
    <n v="30"/>
    <d v="1899-12-30T00:10:00"/>
    <n v="1"/>
    <n v="3.3333333333333333E-2"/>
    <n v="0"/>
    <x v="0"/>
    <x v="37"/>
  </r>
  <r>
    <s v="00051"/>
    <s v="HANCCO RIOS, IMANOL HARVI"/>
    <s v="75914879"/>
    <d v="1899-12-30T00:00:00"/>
    <d v="1899-12-30T00:00:00"/>
    <d v="1899-12-30T00:00:00"/>
    <d v="1899-12-30T00:00:00"/>
    <d v="1899-12-30T00:01:00"/>
    <d v="1899-12-30T00:00:00"/>
    <d v="1899-12-30T00:00:00"/>
    <d v="1899-12-30T00:00:00"/>
    <d v="1899-12-30T00:00:00"/>
    <d v="1899-12-30T00:00:00"/>
    <d v="1899-12-30T00:02:00"/>
    <d v="1899-12-30T00:01:00"/>
    <d v="1899-12-30T00:11:00"/>
    <d v="1899-12-30T00:00:00"/>
    <d v="1899-12-30T00:01:00"/>
    <d v="1899-12-30T00:00:00"/>
    <d v="1899-12-30T00:00:00"/>
    <d v="1899-12-30T00:04:00"/>
    <d v="1899-12-30T00:00:00"/>
    <d v="1899-12-30T00:00:00"/>
    <d v="1899-12-30T00:00:00"/>
    <d v="1899-12-30T00:18:00"/>
    <d v="1899-12-30T00:00:00"/>
    <d v="1899-12-30T00:04:00"/>
    <d v="1899-12-30T00:01:00"/>
    <d v="1899-12-30T00:02:00"/>
    <d v="1899-12-30T00:01:00"/>
    <d v="1899-12-30T00:11:00"/>
    <d v="1899-12-30T00:22:00"/>
    <d v="1899-12-30T00:00:00"/>
    <m/>
    <m/>
    <x v="4"/>
    <n v="30"/>
    <d v="1899-12-30T00:10:00"/>
    <n v="4"/>
    <n v="0.13333333333333333"/>
    <n v="0"/>
    <x v="0"/>
    <x v="38"/>
  </r>
  <r>
    <s v="00052"/>
    <s v="BORDA BURGOS, STEFANO PAOLO"/>
    <s v="72185457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2:00"/>
    <d v="1899-12-30T00:02:00"/>
    <d v="1899-12-30T00:00:00"/>
    <d v="1899-12-30T00:26:00"/>
    <d v="1899-12-30T00:01:00"/>
    <d v="1899-12-30T00:00:00"/>
    <d v="1899-12-30T00:22:00"/>
    <d v="1899-12-30T00:00:00"/>
    <d v="1899-12-30T00:01:00"/>
    <d v="1899-12-30T00:00:00"/>
    <d v="1899-12-30T00:00:00"/>
    <d v="1899-12-30T00:15:00"/>
    <d v="1899-12-30T00:21:00"/>
    <d v="1899-12-30T00:28:00"/>
    <d v="1899-12-30T00:08:00"/>
    <d v="1899-12-30T00:00:00"/>
    <d v="1899-12-30T00:00:00"/>
    <m/>
    <m/>
    <x v="4"/>
    <n v="30"/>
    <d v="1899-12-30T00:10:00"/>
    <n v="5"/>
    <n v="0.16666666666666666"/>
    <n v="0"/>
    <x v="0"/>
    <x v="39"/>
  </r>
  <r>
    <s v="00001"/>
    <s v="CACERES CORDOVA, ROCIO SANDRA"/>
    <s v="48429690"/>
    <d v="1899-12-30T00:49:00"/>
    <s v=" 1:04"/>
    <d v="1899-12-30T00:16:00"/>
    <d v="1899-12-30T00:44:00"/>
    <d v="1899-12-30T00:46:00"/>
    <s v=" 1:04"/>
    <d v="1899-12-30T00:00:00"/>
    <d v="1899-12-30T00:41:00"/>
    <d v="1899-12-30T00:40:00"/>
    <d v="1899-12-30T00:35:00"/>
    <d v="1899-12-30T00:30:00"/>
    <d v="1899-12-30T00:28:00"/>
    <d v="1899-12-30T00:00:00"/>
    <d v="1899-12-30T00:00:00"/>
    <s v=" 1:00"/>
    <d v="1899-12-30T00:44:00"/>
    <d v="1899-12-30T00:25:00"/>
    <d v="1899-12-30T00:30:00"/>
    <d v="1899-12-30T00:24:00"/>
    <d v="1899-12-30T00:16:00"/>
    <d v="1899-12-30T00:00:00"/>
    <d v="1899-12-30T00:44:00"/>
    <d v="1899-12-30T00:35:00"/>
    <d v="1899-12-30T00:11:00"/>
    <d v="1899-12-30T00:59:00"/>
    <d v="1899-12-30T00:24:00"/>
    <d v="1899-12-30T00:18:00"/>
    <d v="1899-12-30T00:00:00"/>
    <d v="1899-12-30T00:00:00"/>
    <d v="1899-12-30T00:29:00"/>
    <d v="1899-12-30T00:21:00"/>
    <m/>
    <x v="5"/>
    <n v="31"/>
    <d v="1899-12-30T00:10:00"/>
    <n v="22"/>
    <n v="0.70967741935483875"/>
    <n v="0"/>
    <x v="0"/>
    <x v="0"/>
  </r>
  <r>
    <s v="00003"/>
    <s v="LLANOS YAURI, LOURDES LUCIA"/>
    <s v="10602846"/>
    <d v="1899-12-30T00:18:00"/>
    <d v="1899-12-30T00:24:00"/>
    <d v="1899-12-30T00:18:00"/>
    <d v="1899-12-30T00:39:00"/>
    <d v="1899-12-30T00:27:00"/>
    <d v="1899-12-30T00:05:00"/>
    <d v="1899-12-30T00:00:00"/>
    <d v="1899-12-30T00:12:00"/>
    <d v="1899-12-30T00:25:00"/>
    <d v="1899-12-30T00:07:00"/>
    <d v="1899-12-30T00:54:00"/>
    <d v="1899-12-30T00:39:00"/>
    <d v="1899-12-30T00:00:00"/>
    <d v="1899-12-30T00:00:00"/>
    <d v="1899-12-30T00:28:00"/>
    <s v=" 1:07"/>
    <d v="1899-12-30T00:17:00"/>
    <d v="1899-12-30T00:37:00"/>
    <d v="1899-12-30T00:06:00"/>
    <d v="1899-12-30T00:00:00"/>
    <d v="1899-12-30T00:00:00"/>
    <d v="1899-12-30T00:27:00"/>
    <d v="1899-12-30T00:00:00"/>
    <s v=" 1:03"/>
    <s v=" 1:02"/>
    <d v="1899-12-30T00:24:00"/>
    <d v="1899-12-30T00:11:00"/>
    <d v="1899-12-30T00:00:00"/>
    <d v="1899-12-30T00:54:00"/>
    <d v="1899-12-30T00:00:00"/>
    <d v="1899-12-30T00:54:00"/>
    <m/>
    <x v="5"/>
    <n v="31"/>
    <d v="1899-12-30T00:10:00"/>
    <n v="17"/>
    <n v="0.54838709677419351"/>
    <n v="0"/>
    <x v="0"/>
    <x v="1"/>
  </r>
  <r>
    <s v="00004"/>
    <s v="TICLLA RAMOS, MARIELLA"/>
    <s v="72262268"/>
    <d v="1899-12-30T00:50:00"/>
    <d v="1899-12-30T00:34:00"/>
    <d v="1899-12-30T00:19:00"/>
    <d v="1899-12-30T00:22:00"/>
    <d v="1899-12-30T00:28:00"/>
    <d v="1899-12-30T00:00:00"/>
    <d v="1899-12-30T00:00:00"/>
    <d v="1899-12-30T00:26:00"/>
    <d v="1899-12-30T00:30:00"/>
    <d v="1899-12-30T00:24:00"/>
    <d v="1899-12-30T00:07:00"/>
    <d v="1899-12-30T00:16:00"/>
    <d v="1899-12-30T00:00:00"/>
    <d v="1899-12-30T00:00:00"/>
    <d v="1899-12-30T00:28:00"/>
    <d v="1899-12-30T00:19:00"/>
    <d v="1899-12-30T00:23:00"/>
    <d v="1899-12-30T00:24:00"/>
    <d v="1899-12-30T00:25:00"/>
    <d v="1899-12-30T00:28:00"/>
    <d v="1899-12-30T00:00:00"/>
    <d v="1899-12-30T00:40:00"/>
    <d v="1899-12-30T00:45:00"/>
    <d v="1899-12-30T00:41:00"/>
    <d v="1899-12-30T00:27:00"/>
    <d v="1899-12-30T00:27:00"/>
    <d v="1899-12-30T00:08:00"/>
    <d v="1899-12-30T00:00:00"/>
    <d v="1899-12-30T00:38:00"/>
    <d v="1899-12-30T00:06:00"/>
    <d v="1899-12-30T00:04:00"/>
    <m/>
    <x v="5"/>
    <n v="31"/>
    <d v="1899-12-30T00:10:00"/>
    <n v="21"/>
    <n v="0.67741935483870963"/>
    <n v="0"/>
    <x v="0"/>
    <x v="2"/>
  </r>
  <r>
    <s v="00006"/>
    <s v="PARIONA ROSAS, RICHARD"/>
    <s v="71001774"/>
    <d v="1899-12-30T00:33:00"/>
    <d v="1899-12-30T00:44:00"/>
    <d v="1899-12-30T00:23:00"/>
    <d v="1899-12-30T00:20:00"/>
    <d v="1899-12-30T00:34:00"/>
    <d v="1899-12-30T00:11:00"/>
    <d v="1899-12-30T00:00:00"/>
    <d v="1899-12-30T00:18:00"/>
    <d v="1899-12-30T00:31:00"/>
    <d v="1899-12-30T00:15:00"/>
    <d v="1899-12-30T00:24:00"/>
    <d v="1899-12-30T00:17:00"/>
    <d v="1899-12-30T00:00:00"/>
    <d v="1899-12-30T00:00:00"/>
    <d v="1899-12-30T00:14:00"/>
    <d v="1899-12-30T00:08:00"/>
    <d v="1899-12-30T00:36:00"/>
    <d v="1899-12-30T00:17:00"/>
    <d v="1899-12-30T00:21:00"/>
    <d v="1899-12-30T00:11:00"/>
    <d v="1899-12-30T00:00:00"/>
    <d v="1899-12-30T00:16:00"/>
    <d v="1899-12-30T00:21:00"/>
    <d v="1899-12-30T00:19:00"/>
    <d v="1899-12-30T00:18:00"/>
    <d v="1899-12-30T00:14:00"/>
    <d v="1899-12-30T00:14:00"/>
    <d v="1899-12-30T00:00:00"/>
    <d v="1899-12-30T00:18:00"/>
    <d v="1899-12-30T00:30:00"/>
    <d v="1899-12-30T00:00:00"/>
    <m/>
    <x v="5"/>
    <n v="31"/>
    <d v="1899-12-30T00:10:00"/>
    <n v="24"/>
    <n v="0.77419354838709675"/>
    <n v="0"/>
    <x v="0"/>
    <x v="3"/>
  </r>
  <r>
    <s v="00008"/>
    <s v="LLANOS ANTAURCO, STEPHEN BORIS"/>
    <s v="46183969"/>
    <d v="1899-12-30T00:00:00"/>
    <d v="1899-12-30T00:00:00"/>
    <d v="1899-12-30T00:20:00"/>
    <d v="1899-12-30T00:10:00"/>
    <d v="1899-12-30T00:14:00"/>
    <d v="1899-12-30T00:05:00"/>
    <d v="1899-12-30T00:00:00"/>
    <d v="1899-12-30T00:05:00"/>
    <d v="1899-12-30T00:24:00"/>
    <d v="1899-12-30T00:12:00"/>
    <d v="1899-12-30T00:00:00"/>
    <d v="1899-12-30T00:12:00"/>
    <d v="1899-12-30T00:00:00"/>
    <d v="1899-12-30T00:00:00"/>
    <d v="1899-12-30T00:00:00"/>
    <d v="1899-12-30T00:20:00"/>
    <d v="1899-12-30T00:19:00"/>
    <d v="1899-12-30T00:12:00"/>
    <d v="1899-12-30T00:04:00"/>
    <d v="1899-12-30T00:07:00"/>
    <d v="1899-12-30T00:00:00"/>
    <d v="1899-12-30T00:02:00"/>
    <d v="1899-12-30T00:10:00"/>
    <d v="1899-12-30T00:12:00"/>
    <d v="1899-12-30T00:19:00"/>
    <d v="1899-12-30T00:00:00"/>
    <d v="1899-12-30T00:09:00"/>
    <d v="1899-12-30T00:00:00"/>
    <d v="1899-12-30T00:11:00"/>
    <d v="1899-12-30T00:04:00"/>
    <d v="1899-12-30T00:00:00"/>
    <m/>
    <x v="5"/>
    <n v="31"/>
    <d v="1899-12-30T00:10:00"/>
    <n v="11"/>
    <n v="0.35483870967741937"/>
    <n v="0"/>
    <x v="0"/>
    <x v="5"/>
  </r>
  <r>
    <s v="00010"/>
    <s v="CCAMA ARONI, LUZ MIRELLA"/>
    <s v="76575233"/>
    <d v="1899-12-30T00:24:00"/>
    <d v="1899-12-30T00:13:00"/>
    <d v="1899-12-30T00:13:00"/>
    <d v="1899-12-30T00:39:00"/>
    <d v="1899-12-30T00:00:00"/>
    <d v="1899-12-30T00:17:00"/>
    <d v="1899-12-30T00:00:00"/>
    <d v="1899-12-30T00:21:00"/>
    <d v="1899-12-30T00:19:00"/>
    <d v="1899-12-30T00:28:00"/>
    <d v="1899-12-30T00:25:00"/>
    <d v="1899-12-30T00:21:00"/>
    <d v="1899-12-30T00:00:00"/>
    <d v="1899-12-30T00:00:00"/>
    <d v="1899-12-30T00:00:00"/>
    <d v="1899-12-30T00:06:00"/>
    <d v="1899-12-30T00:21:00"/>
    <d v="1899-12-30T00:12:00"/>
    <d v="1899-12-30T00:27:00"/>
    <d v="1899-12-30T00:27:00"/>
    <d v="1899-12-30T00:00:00"/>
    <d v="1899-12-30T00:22:00"/>
    <d v="1899-12-30T00:17:00"/>
    <d v="1899-12-30T00:34:00"/>
    <d v="1899-12-30T00:34:00"/>
    <d v="1899-12-30T00:15:00"/>
    <d v="1899-12-30T00:18:00"/>
    <d v="1899-12-30T00:00:00"/>
    <d v="1899-12-30T00:06:00"/>
    <d v="1899-12-30T00:36:00"/>
    <d v="1899-12-30T00:12:00"/>
    <m/>
    <x v="5"/>
    <n v="31"/>
    <d v="1899-12-30T00:10:00"/>
    <n v="22"/>
    <n v="0.70967741935483875"/>
    <n v="0"/>
    <x v="0"/>
    <x v="6"/>
  </r>
  <r>
    <s v="00013"/>
    <s v="CAYCHO HUANCA, ANDREA ALESSANDRA"/>
    <s v="76227067"/>
    <d v="1899-12-30T00:21:00"/>
    <d v="1899-12-30T00:27:00"/>
    <d v="1899-12-30T00:20:00"/>
    <d v="1899-12-30T00:18:00"/>
    <d v="1899-12-30T00:21:00"/>
    <d v="1899-12-30T00:21:00"/>
    <d v="1899-12-30T00:00:00"/>
    <d v="1899-12-30T00:18:00"/>
    <d v="1899-12-30T00:32:00"/>
    <d v="1899-12-30T00:30:00"/>
    <d v="1899-12-30T00:25:00"/>
    <d v="1899-12-30T00:17:00"/>
    <d v="1899-12-30T00:00:00"/>
    <d v="1899-12-30T00:00:00"/>
    <d v="1899-12-30T00:43:00"/>
    <s v="F"/>
    <d v="1899-12-30T00:15:00"/>
    <d v="1899-12-30T00:15:00"/>
    <d v="1899-12-30T00:12:00"/>
    <d v="1899-12-30T00:28:00"/>
    <d v="1899-12-30T00:00:00"/>
    <d v="1899-12-30T00:20:00"/>
    <d v="1899-12-30T00:21:00"/>
    <d v="1899-12-30T00:25:00"/>
    <d v="1899-12-30T00:18:00"/>
    <d v="1899-12-30T00:27:00"/>
    <d v="1899-12-30T00:29:00"/>
    <d v="1899-12-30T00:00:00"/>
    <d v="1899-12-30T00:20:00"/>
    <d v="1899-12-30T00:21:00"/>
    <d v="1899-12-30T00:24:00"/>
    <m/>
    <x v="5"/>
    <n v="31"/>
    <d v="1899-12-30T00:10:00"/>
    <n v="25"/>
    <n v="0.80645161290322576"/>
    <n v="1"/>
    <x v="1"/>
    <x v="7"/>
  </r>
  <r>
    <s v="00014"/>
    <s v="PAREDES GUILLEN, ROCIO NOEMI"/>
    <s v="09930677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1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x v="5"/>
    <n v="31"/>
    <d v="1899-12-30T00:10:00"/>
    <n v="0"/>
    <n v="0"/>
    <n v="0"/>
    <x v="1"/>
    <x v="8"/>
  </r>
  <r>
    <s v="00021"/>
    <s v="PRETELL PINTADO, ANGELICA DIANA"/>
    <s v="72648191"/>
    <d v="1899-12-30T00:17:00"/>
    <d v="1899-12-30T00:46:00"/>
    <d v="1899-12-30T00:23:00"/>
    <d v="1899-12-30T00:27:00"/>
    <d v="1899-12-30T00:31:00"/>
    <d v="1899-12-30T00:32:00"/>
    <d v="1899-12-30T00:00:00"/>
    <d v="1899-12-30T00:36:00"/>
    <d v="1899-12-30T00:25:00"/>
    <d v="1899-12-30T00:38:00"/>
    <d v="1899-12-30T00:19:00"/>
    <d v="1899-12-30T00:33:00"/>
    <d v="1899-12-30T00:00:00"/>
    <d v="1899-12-30T00:00:00"/>
    <d v="1899-12-30T00:27:00"/>
    <d v="1899-12-30T00:41:00"/>
    <d v="1899-12-30T00:27:00"/>
    <d v="1899-12-30T00:24:00"/>
    <d v="1899-12-30T00:36:00"/>
    <d v="1899-12-30T00:20:00"/>
    <d v="1899-12-30T00:00:00"/>
    <d v="1899-12-30T00:20:00"/>
    <d v="1899-12-30T00:30:00"/>
    <d v="1899-12-30T00:21:00"/>
    <d v="1899-12-30T00:24:00"/>
    <d v="1899-12-30T00:31:00"/>
    <d v="1899-12-30T00:16:00"/>
    <d v="1899-12-30T00:00:00"/>
    <d v="1899-12-30T00:15:00"/>
    <d v="1899-12-30T00:18:00"/>
    <d v="1899-12-30T00:20:00"/>
    <m/>
    <x v="5"/>
    <n v="31"/>
    <d v="1899-12-30T00:10:00"/>
    <n v="26"/>
    <n v="0.83870967741935487"/>
    <n v="0"/>
    <x v="1"/>
    <x v="11"/>
  </r>
  <r>
    <s v="00023"/>
    <s v="LOPEZ FARIAS, CARLOS JOAQUIN"/>
    <s v="73619936"/>
    <d v="1899-12-30T00:13:00"/>
    <d v="1899-12-30T00:00:00"/>
    <d v="1899-12-30T00:06:00"/>
    <d v="1899-12-30T00:09:00"/>
    <d v="1899-12-30T00:00:00"/>
    <d v="1899-12-30T00:00:00"/>
    <d v="1899-12-30T00:00:00"/>
    <d v="1899-12-30T00:05:00"/>
    <d v="1899-12-30T00:00:00"/>
    <d v="1899-12-30T00:21:00"/>
    <d v="1899-12-30T00:11:00"/>
    <d v="1899-12-30T00:03:00"/>
    <d v="1899-12-30T00:00:00"/>
    <d v="1899-12-30T00:00:00"/>
    <d v="1899-12-30T00:00:00"/>
    <d v="1899-12-30T00:00:00"/>
    <d v="1899-12-30T00:16:00"/>
    <d v="1899-12-30T00:04:00"/>
    <d v="1899-12-30T00:00:00"/>
    <d v="1899-12-30T00:06:00"/>
    <d v="1899-12-30T00:00:00"/>
    <d v="1899-12-30T00:35:00"/>
    <d v="1899-12-30T00:00:00"/>
    <d v="1899-12-30T00:31:00"/>
    <d v="1899-12-30T00:03:00"/>
    <d v="1899-12-30T00:07:00"/>
    <d v="1899-12-30T00:18:00"/>
    <d v="1899-12-30T00:00:00"/>
    <d v="1899-12-30T00:20:00"/>
    <d v="1899-12-30T00:00:00"/>
    <d v="1899-12-30T00:13:00"/>
    <m/>
    <x v="5"/>
    <n v="31"/>
    <d v="1899-12-30T00:10:00"/>
    <n v="9"/>
    <n v="0.29032258064516131"/>
    <n v="0"/>
    <x v="0"/>
    <x v="13"/>
  </r>
  <r>
    <s v="00025"/>
    <s v="CRUZ TAIPE, RONY WALDIR"/>
    <s v="76848378"/>
    <d v="1899-12-30T00:07:00"/>
    <d v="1899-12-30T00:22:00"/>
    <d v="1899-12-30T00:10:00"/>
    <d v="1899-12-30T00:16:00"/>
    <d v="1899-12-30T00:15:00"/>
    <d v="1899-12-30T00:04:00"/>
    <d v="1899-12-30T00:00:00"/>
    <d v="1899-12-30T00:00:00"/>
    <d v="1899-12-30T00:17:00"/>
    <d v="1899-12-30T00:07:00"/>
    <d v="1899-12-30T00:19:00"/>
    <d v="1899-12-30T00:28:00"/>
    <d v="1899-12-30T00:00:00"/>
    <d v="1899-12-30T00:00:00"/>
    <d v="1899-12-30T00:03:00"/>
    <d v="1899-12-30T00:17:00"/>
    <d v="1899-12-30T00:15:00"/>
    <d v="1899-12-30T00:05:00"/>
    <d v="1899-12-30T00:00:00"/>
    <d v="1899-12-30T00:02:00"/>
    <d v="1899-12-30T00:00:00"/>
    <d v="1899-12-30T00:00:00"/>
    <d v="1899-12-30T00:03:00"/>
    <d v="1899-12-30T00:01:00"/>
    <d v="1899-12-30T00:16:00"/>
    <d v="1899-12-30T00:00:00"/>
    <d v="1899-12-30T00:00:00"/>
    <d v="1899-12-30T00:00:00"/>
    <d v="1899-12-30T00:00:00"/>
    <d v="1899-12-30T00:15:00"/>
    <d v="1899-12-30T00:14:00"/>
    <m/>
    <x v="5"/>
    <n v="31"/>
    <d v="1899-12-30T00:10:00"/>
    <n v="11"/>
    <n v="0.35483870967741937"/>
    <n v="0"/>
    <x v="0"/>
    <x v="15"/>
  </r>
  <r>
    <s v="00026"/>
    <s v="ANDRADE MERA, MARQUIÑO ANTONY"/>
    <s v="74768155"/>
    <d v="1899-12-30T00:03:00"/>
    <d v="1899-12-30T00:04:00"/>
    <d v="1899-12-30T00:21:00"/>
    <d v="1899-12-30T00:21:00"/>
    <d v="1899-12-30T00:13:00"/>
    <d v="1899-12-30T00:22:00"/>
    <d v="1899-12-30T00:00:00"/>
    <d v="1899-12-30T00:10:00"/>
    <d v="1899-12-30T00:07:00"/>
    <d v="1899-12-30T00:16:00"/>
    <d v="1899-12-30T00:05:00"/>
    <d v="1899-12-30T00:19:00"/>
    <d v="1899-12-30T00:00:00"/>
    <d v="1899-12-30T00:00:00"/>
    <d v="1899-12-30T00:22:00"/>
    <d v="1899-12-30T00:03:00"/>
    <d v="1899-12-30T00:06:00"/>
    <d v="1899-12-30T00:03:00"/>
    <d v="1899-12-30T00:00:00"/>
    <s v="F"/>
    <d v="1899-12-30T00:00:00"/>
    <s v=" 1:02"/>
    <s v=" 1:52"/>
    <s v="F"/>
    <d v="1899-12-30T00:04:00"/>
    <d v="1899-12-30T00:17:00"/>
    <d v="1899-12-30T00:08:00"/>
    <d v="1899-12-30T00:00:00"/>
    <d v="1899-12-30T00:00:00"/>
    <s v="F"/>
    <d v="1899-12-30T00:04:00"/>
    <m/>
    <x v="5"/>
    <n v="31"/>
    <d v="1899-12-30T00:10:00"/>
    <n v="8"/>
    <n v="0.25806451612903225"/>
    <n v="3"/>
    <x v="1"/>
    <x v="16"/>
  </r>
  <r>
    <s v="00034"/>
    <s v="MEJIA TORRES, FRANCISCO JAVIER"/>
    <s v="72350882"/>
    <d v="1899-12-30T00:00:00"/>
    <d v="1899-12-30T00:00:00"/>
    <d v="1899-12-30T00:00:00"/>
    <d v="1899-12-30T00:10:00"/>
    <d v="1899-12-30T00:14:00"/>
    <d v="1899-12-30T00:09:00"/>
    <d v="1899-12-30T00:00:00"/>
    <d v="1899-12-30T00:05:00"/>
    <d v="1899-12-30T00:00:00"/>
    <d v="1899-12-30T00:00:00"/>
    <d v="1899-12-30T00:00:00"/>
    <d v="1899-12-30T00:04:00"/>
    <d v="1899-12-30T00:00:00"/>
    <d v="1899-12-30T00:00:00"/>
    <d v="1899-12-30T00:01:00"/>
    <d v="1899-12-30T00:00:00"/>
    <d v="1899-12-30T00:00:00"/>
    <d v="1899-12-30T00:29:00"/>
    <d v="1899-12-30T00:00:00"/>
    <d v="1899-12-30T00:00:00"/>
    <d v="1899-12-30T00:00:00"/>
    <d v="1899-12-30T00:03:00"/>
    <d v="1899-12-30T00:02:00"/>
    <d v="1899-12-30T00:11:00"/>
    <d v="1899-12-30T00:00:00"/>
    <d v="1899-12-30T00:00:00"/>
    <d v="1899-12-30T00:09:00"/>
    <d v="1899-12-30T00:00:00"/>
    <d v="1899-12-30T00:01:00"/>
    <d v="1899-12-30T00:01:00"/>
    <d v="1899-12-30T00:13:00"/>
    <m/>
    <x v="5"/>
    <n v="31"/>
    <d v="1899-12-30T00:10:00"/>
    <n v="4"/>
    <n v="0.12903225806451613"/>
    <n v="0"/>
    <x v="0"/>
    <x v="20"/>
  </r>
  <r>
    <s v="00035"/>
    <s v="GUEVARA CABELLO, CARLOS JEANPIERRE"/>
    <s v="74026944"/>
    <d v="1899-12-30T00:00:00"/>
    <d v="1899-12-30T00:00:00"/>
    <s v="F"/>
    <d v="1899-12-30T00:00:00"/>
    <d v="1899-12-30T00:02:00"/>
    <d v="1899-12-30T00:12:00"/>
    <d v="1899-12-30T00:00:00"/>
    <d v="1899-12-30T00:11:00"/>
    <d v="1899-12-30T00:00:00"/>
    <d v="1899-12-30T00:10:00"/>
    <d v="1899-12-30T00:10:00"/>
    <d v="1899-12-30T00:03:00"/>
    <d v="1899-12-30T00:00:00"/>
    <d v="1899-12-30T00:00:00"/>
    <d v="1899-12-30T00:00:00"/>
    <d v="1899-12-30T00:00:00"/>
    <s v=" 1:30"/>
    <d v="1899-12-30T00:07:00"/>
    <s v=" 1:13"/>
    <d v="1899-12-30T00:00:00"/>
    <d v="1899-12-30T00:00:00"/>
    <s v=" 1:17"/>
    <d v="1899-12-30T00:07:00"/>
    <s v=" 1:09"/>
    <d v="1899-12-30T00:00:00"/>
    <d v="1899-12-30T00:00:00"/>
    <d v="1899-12-30T00:09:00"/>
    <d v="1899-12-30T00:00:00"/>
    <s v=" 1:14"/>
    <d v="1899-12-30T00:08:00"/>
    <s v=" 1:58"/>
    <m/>
    <x v="5"/>
    <n v="31"/>
    <d v="1899-12-30T00:10:00"/>
    <n v="2"/>
    <n v="6.4516129032258063E-2"/>
    <n v="1"/>
    <x v="0"/>
    <x v="21"/>
  </r>
  <r>
    <s v="00036"/>
    <s v="AMES ESPINOZA, KIMBERLLY"/>
    <s v="75149675"/>
    <d v="1899-12-30T00:26:00"/>
    <d v="1899-12-30T00:00:00"/>
    <d v="1899-12-30T00:57:00"/>
    <s v=" 1:31"/>
    <d v="1899-12-30T00:00:00"/>
    <d v="1899-12-30T00:00:00"/>
    <d v="1899-12-30T00:00:00"/>
    <d v="1899-12-30T00:00:00"/>
    <d v="1899-12-30T00:14:00"/>
    <s v=" 1:15"/>
    <d v="1899-12-30T00:29:00"/>
    <d v="1899-12-30T00:17:00"/>
    <d v="1899-12-30T00:00:00"/>
    <d v="1899-12-30T00:00:00"/>
    <d v="1899-12-30T00:42:00"/>
    <d v="1899-12-30T00:40:00"/>
    <d v="1899-12-30T00:00:00"/>
    <s v=" 1:01"/>
    <s v=" 1:30"/>
    <d v="1899-12-30T00:00:00"/>
    <d v="1899-12-30T00:00:00"/>
    <d v="1899-12-30T00:44:00"/>
    <d v="1899-12-30T00:00:00"/>
    <d v="1899-12-30T00:00:00"/>
    <d v="1899-12-30T00:00:00"/>
    <d v="1899-12-30T00:27:00"/>
    <d v="1899-12-30T00:00:00"/>
    <d v="1899-12-30T00:00:00"/>
    <d v="1899-12-30T00:45:00"/>
    <d v="1899-12-30T00:37:00"/>
    <d v="1899-12-30T00:40:00"/>
    <m/>
    <x v="5"/>
    <n v="31"/>
    <d v="1899-12-30T00:10:00"/>
    <n v="12"/>
    <n v="0.38709677419354838"/>
    <n v="0"/>
    <x v="0"/>
    <x v="22"/>
  </r>
  <r>
    <s v="00037"/>
    <s v="ALVARADO ECHAIZ, LILIANA"/>
    <s v="15739413"/>
    <d v="1899-12-30T00:25:00"/>
    <d v="1899-12-30T00:33:00"/>
    <d v="1899-12-30T00:39:00"/>
    <d v="1899-12-30T00:30:00"/>
    <s v=" 2:06"/>
    <d v="1899-12-30T00:27:00"/>
    <d v="1899-12-30T00:00:00"/>
    <d v="1899-12-30T00:30:00"/>
    <d v="1899-12-30T00:39:00"/>
    <d v="1899-12-30T00:28:00"/>
    <d v="1899-12-30T00:42:00"/>
    <d v="1899-12-30T00:36:00"/>
    <d v="1899-12-30T00:00:00"/>
    <d v="1899-12-30T00:00:00"/>
    <d v="1899-12-30T00:29:00"/>
    <d v="1899-12-30T00:17:00"/>
    <d v="1899-12-30T00:34:00"/>
    <d v="1899-12-30T00:25:00"/>
    <d v="1899-12-30T00:26:00"/>
    <d v="1899-12-30T00:18:00"/>
    <d v="1899-12-30T00:00:00"/>
    <d v="1899-12-30T00:23:00"/>
    <d v="1899-12-30T00:37:00"/>
    <d v="1899-12-30T00:18:00"/>
    <d v="1899-12-30T00:44:00"/>
    <d v="1899-12-30T00:42:00"/>
    <d v="1899-12-30T00:25:00"/>
    <d v="1899-12-30T00:00:00"/>
    <d v="1899-12-30T00:41:00"/>
    <d v="1899-12-30T00:23:00"/>
    <d v="1899-12-30T00:17:00"/>
    <m/>
    <x v="5"/>
    <n v="31"/>
    <d v="1899-12-30T00:10:00"/>
    <n v="25"/>
    <n v="0.80645161290322576"/>
    <n v="0"/>
    <x v="0"/>
    <x v="23"/>
  </r>
  <r>
    <s v="00040"/>
    <s v="MERMA CHILA, MANUEL ENRIQUE"/>
    <s v="75925906"/>
    <d v="1899-12-30T00:03:00"/>
    <d v="1899-12-30T00:06:00"/>
    <d v="1899-12-30T00:00:00"/>
    <s v=" 2:58"/>
    <d v="1899-12-30T00:00:00"/>
    <d v="1899-12-30T00:00:00"/>
    <d v="1899-12-30T00:00:00"/>
    <d v="1899-12-30T00:00:00"/>
    <d v="1899-12-30T00:05:00"/>
    <d v="1899-12-30T00:06:00"/>
    <d v="1899-12-30T00:20:00"/>
    <d v="1899-12-30T00:07:00"/>
    <d v="1899-12-30T00:00:00"/>
    <d v="1899-12-30T00:00:00"/>
    <d v="1899-12-30T00:01:00"/>
    <d v="1899-12-30T00:00:00"/>
    <d v="1899-12-30T00:18:00"/>
    <d v="1899-12-30T00:06:00"/>
    <d v="1899-12-30T00:07:00"/>
    <d v="1899-12-30T00:02:00"/>
    <d v="1899-12-30T00:00:00"/>
    <d v="1899-12-30T00:02:00"/>
    <d v="1899-12-30T00:01:00"/>
    <d v="1899-12-30T00:00:00"/>
    <d v="1899-12-30T00:05:00"/>
    <d v="1899-12-30T00:09:00"/>
    <d v="1899-12-30T00:01:00"/>
    <d v="1899-12-30T00:00:00"/>
    <d v="1899-12-30T00:00:00"/>
    <d v="1899-12-30T00:35:00"/>
    <d v="1899-12-30T00:13:00"/>
    <m/>
    <x v="5"/>
    <n v="31"/>
    <d v="1899-12-30T00:10:00"/>
    <n v="4"/>
    <n v="0.12903225806451613"/>
    <n v="0"/>
    <x v="0"/>
    <x v="26"/>
  </r>
  <r>
    <s v="00041"/>
    <s v="SANCHEZ PANAIFO, GRECIA DANNAE"/>
    <s v="48420673"/>
    <d v="1899-12-30T00:00:00"/>
    <d v="1899-12-30T00:21:00"/>
    <d v="1899-12-30T00:29:00"/>
    <s v=" 4:57"/>
    <d v="1899-12-30T00:28:00"/>
    <d v="1899-12-30T00:40:00"/>
    <d v="1899-12-30T00:00:00"/>
    <d v="1899-12-30T00:06:00"/>
    <d v="1899-12-30T00:25:00"/>
    <d v="1899-12-30T00:21:00"/>
    <d v="1899-12-30T00:09:00"/>
    <d v="1899-12-30T00:33:00"/>
    <d v="1899-12-30T00:00:00"/>
    <d v="1899-12-30T00:00:00"/>
    <d v="1899-12-30T00:39:00"/>
    <d v="1899-12-30T00:00:00"/>
    <d v="1899-12-30T00:11:00"/>
    <d v="1899-12-30T00:15:00"/>
    <d v="1899-12-30T00:18:00"/>
    <s v=" 2:10"/>
    <d v="1899-12-30T00:00:00"/>
    <d v="1899-12-30T00:42:00"/>
    <d v="1899-12-30T00:06:00"/>
    <d v="1899-12-30T00:03:00"/>
    <d v="1899-12-30T00:06:00"/>
    <d v="1899-12-30T00:50:00"/>
    <d v="1899-12-30T00:35:00"/>
    <d v="1899-12-30T00:00:00"/>
    <d v="1899-12-30T00:52:00"/>
    <d v="1899-12-30T00:07:00"/>
    <d v="1899-12-30T00:10:00"/>
    <m/>
    <x v="5"/>
    <n v="31"/>
    <d v="1899-12-30T00:10:00"/>
    <n v="15"/>
    <n v="0.4838709677419355"/>
    <n v="0"/>
    <x v="0"/>
    <x v="27"/>
  </r>
  <r>
    <s v="00042"/>
    <s v="CHAVEZ GUILLEN, DIANA CAROLINA"/>
    <s v="71007128"/>
    <d v="1899-12-30T00:15:00"/>
    <d v="1899-12-30T00:00:00"/>
    <d v="1899-12-30T00:00:00"/>
    <d v="1899-12-30T00:03:00"/>
    <d v="1899-12-30T00:13:00"/>
    <d v="1899-12-30T00:13:00"/>
    <d v="1899-12-30T00:00:00"/>
    <d v="1899-12-30T00:01:00"/>
    <d v="1899-12-30T00:04:00"/>
    <d v="1899-12-30T00:31:00"/>
    <d v="1899-12-30T00:00:00"/>
    <d v="1899-12-30T00:04:00"/>
    <d v="1899-12-30T00:00:00"/>
    <d v="1899-12-30T00:00:00"/>
    <d v="1899-12-30T00:07:00"/>
    <d v="1899-12-30T00:12:00"/>
    <d v="1899-12-30T00:04:00"/>
    <d v="1899-12-30T00:00:00"/>
    <d v="1899-12-30T00:04:00"/>
    <d v="1899-12-30T00:06:00"/>
    <d v="1899-12-30T00:00:00"/>
    <d v="1899-12-30T00:17:00"/>
    <d v="1899-12-30T00:03:00"/>
    <d v="1899-12-30T00:17:00"/>
    <d v="1899-12-30T00:04:00"/>
    <d v="1899-12-30T00:17:00"/>
    <d v="1899-12-30T00:03:00"/>
    <d v="1899-12-30T00:00:00"/>
    <d v="1899-12-30T00:08:00"/>
    <d v="1899-12-30T00:22:00"/>
    <d v="1899-12-30T00:09:00"/>
    <m/>
    <x v="5"/>
    <n v="31"/>
    <d v="1899-12-30T00:10:00"/>
    <n v="9"/>
    <n v="0.29032258064516131"/>
    <n v="0"/>
    <x v="1"/>
    <x v="28"/>
  </r>
  <r>
    <s v="00043"/>
    <s v="URDAY CHOQUE, JONATHAN EDGARD"/>
    <s v="71432329"/>
    <d v="1899-12-30T00:00:00"/>
    <d v="1899-12-30T00:03:00"/>
    <d v="1899-12-30T00:11:00"/>
    <d v="1899-12-30T00:00:00"/>
    <d v="1899-12-30T00:00:00"/>
    <d v="1899-12-30T00:00:00"/>
    <d v="1899-12-30T00:00:00"/>
    <d v="1899-12-30T00:00:00"/>
    <d v="1899-12-30T00:00:00"/>
    <d v="1899-12-30T00:01:00"/>
    <d v="1899-12-30T00:00:00"/>
    <d v="1899-12-30T00:00:00"/>
    <d v="1899-12-30T00:00:00"/>
    <d v="1899-12-30T00:00:00"/>
    <d v="1899-12-30T00:00:00"/>
    <d v="1899-12-30T00:00:00"/>
    <d v="1899-12-30T00:02:00"/>
    <d v="1899-12-30T00:02:00"/>
    <d v="1899-12-30T00:00:00"/>
    <d v="1899-12-30T00:00:00"/>
    <d v="1899-12-30T00:00:00"/>
    <d v="1899-12-30T00:00:00"/>
    <d v="1899-12-30T00:00:00"/>
    <d v="1899-12-30T00:03:00"/>
    <d v="1899-12-30T00:02:00"/>
    <d v="1899-12-30T00:00:00"/>
    <d v="1899-12-30T00:01:00"/>
    <d v="1899-12-30T00:00:00"/>
    <d v="1899-12-30T00:00:00"/>
    <d v="1899-12-30T00:17:00"/>
    <d v="1899-12-30T00:00:00"/>
    <m/>
    <x v="5"/>
    <n v="31"/>
    <d v="1899-12-30T00:10:00"/>
    <n v="2"/>
    <n v="6.4516129032258063E-2"/>
    <n v="0"/>
    <x v="0"/>
    <x v="29"/>
  </r>
  <r>
    <s v="00044"/>
    <s v="PEREZ VERA, MARLENE BETTY"/>
    <s v="72092638"/>
    <d v="1899-12-30T00:04:00"/>
    <d v="1899-12-30T00:00:00"/>
    <d v="1899-12-30T00:00:00"/>
    <d v="1899-12-30T00:03:00"/>
    <d v="1899-12-30T00:14:00"/>
    <s v="F"/>
    <d v="1899-12-30T00:00:00"/>
    <d v="1899-12-30T00:00:00"/>
    <d v="1899-12-30T00:19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x v="5"/>
    <n v="31"/>
    <d v="1899-12-30T00:10:00"/>
    <n v="2"/>
    <n v="6.4516129032258063E-2"/>
    <n v="1"/>
    <x v="1"/>
    <x v="30"/>
  </r>
  <r>
    <s v="00045"/>
    <s v="ALARCON MONTALVAN, YAEL ASHLEY"/>
    <s v="73354131"/>
    <d v="1899-12-30T00:18:00"/>
    <d v="1899-12-30T00:14:00"/>
    <s v=" 4:02"/>
    <d v="1899-12-30T00:00:00"/>
    <d v="1899-12-30T00:06:00"/>
    <d v="1899-12-30T00:07:00"/>
    <d v="1899-12-30T00:00:00"/>
    <s v=" 1:09"/>
    <s v=" 1:15"/>
    <s v=" 1:07"/>
    <d v="1899-12-30T00:54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28:00"/>
    <s v=" 1:16"/>
    <s v=" 1:20"/>
    <s v=" 1:25"/>
    <d v="1899-12-30T00:02:00"/>
    <s v=" 1:12"/>
    <d v="1899-12-30T00:00:00"/>
    <s v=" 1:18"/>
    <d v="1899-12-30T00:11:00"/>
    <s v="F"/>
    <m/>
    <x v="5"/>
    <n v="31"/>
    <d v="1899-12-30T00:10:00"/>
    <n v="5"/>
    <n v="0.16129032258064516"/>
    <n v="1"/>
    <x v="1"/>
    <x v="31"/>
  </r>
  <r>
    <s v="00046"/>
    <s v="CORDOVA ZEVALLOS, JORGE ENRIQUE"/>
    <s v="74043790"/>
    <d v="1899-12-30T00:00:00"/>
    <d v="1899-12-30T00:14:00"/>
    <d v="1899-12-30T00:02:00"/>
    <d v="1899-12-30T00:18:00"/>
    <d v="1899-12-30T00:06:00"/>
    <d v="1899-12-30T00:06:00"/>
    <d v="1899-12-30T00:00:00"/>
    <d v="1899-12-30T00:06:00"/>
    <d v="1899-12-30T00:08:00"/>
    <d v="1899-12-30T00:01:00"/>
    <d v="1899-12-30T00:12:00"/>
    <d v="1899-12-30T00:12:00"/>
    <d v="1899-12-30T00:00:00"/>
    <d v="1899-12-30T00:00:00"/>
    <d v="1899-12-30T00:29:00"/>
    <d v="1899-12-30T00:20:00"/>
    <d v="1899-12-30T00:02:00"/>
    <d v="1899-12-30T00:29:00"/>
    <d v="1899-12-30T00:12:00"/>
    <d v="1899-12-30T00:05:00"/>
    <d v="1899-12-30T00:00:00"/>
    <s v=" 1:21"/>
    <d v="1899-12-30T00:24:00"/>
    <d v="1899-12-30T00:00:00"/>
    <d v="1899-12-30T00:24:00"/>
    <d v="1899-12-30T00:08:00"/>
    <d v="1899-12-30T00:08:00"/>
    <d v="1899-12-30T00:00:00"/>
    <d v="1899-12-30T00:03:00"/>
    <d v="1899-12-30T00:01:00"/>
    <d v="1899-12-30T00:06:00"/>
    <m/>
    <x v="5"/>
    <n v="31"/>
    <d v="1899-12-30T00:10:00"/>
    <n v="10"/>
    <n v="0.32258064516129031"/>
    <n v="0"/>
    <x v="0"/>
    <x v="33"/>
  </r>
  <r>
    <s v="00047"/>
    <s v="PARIAPAZA DE LA CRUZ, OSCAR ANTONIO"/>
    <s v="72691267"/>
    <d v="1899-12-30T00:00:00"/>
    <d v="1899-12-30T00:03:00"/>
    <d v="1899-12-30T00:01:00"/>
    <d v="1899-12-30T00:06:00"/>
    <d v="1899-12-30T00:10:00"/>
    <d v="1899-12-30T00:18:00"/>
    <d v="1899-12-30T00:00:00"/>
    <d v="1899-12-30T00:11:00"/>
    <d v="1899-12-30T00:05:00"/>
    <d v="1899-12-30T00:05:00"/>
    <d v="1899-12-30T00:10:00"/>
    <d v="1899-12-30T00:12:00"/>
    <d v="1899-12-30T00:00:00"/>
    <d v="1899-12-30T00:00:00"/>
    <d v="1899-12-30T00:11:00"/>
    <d v="1899-12-30T00:22:00"/>
    <d v="1899-12-30T00:17:00"/>
    <d v="1899-12-30T00:12:00"/>
    <d v="1899-12-30T00:16:00"/>
    <d v="1899-12-30T00:05:00"/>
    <d v="1899-12-30T00:00:00"/>
    <d v="1899-12-30T00:27:00"/>
    <d v="1899-12-30T00:18:00"/>
    <d v="1899-12-30T00:25:00"/>
    <d v="1899-12-30T00:27:00"/>
    <d v="1899-12-30T00:09:00"/>
    <d v="1899-12-30T00:09:00"/>
    <d v="1899-12-30T00:00:00"/>
    <d v="1899-12-30T00:06:00"/>
    <d v="1899-12-30T00:23:00"/>
    <d v="1899-12-30T00:06:00"/>
    <m/>
    <x v="5"/>
    <n v="31"/>
    <d v="1899-12-30T00:10:00"/>
    <n v="13"/>
    <n v="0.41935483870967744"/>
    <n v="0"/>
    <x v="0"/>
    <x v="34"/>
  </r>
  <r>
    <s v="00048"/>
    <s v="LUJAN VILCAÑAUPA, ALEXANDER MATIAS"/>
    <s v="75367942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1:00"/>
    <d v="1899-12-30T00:09:00"/>
    <d v="1899-12-30T00:12:00"/>
    <d v="1899-12-30T00:03:00"/>
    <d v="1899-12-30T00:06:00"/>
    <d v="1899-12-30T00:00:00"/>
    <d v="1899-12-30T00:07:00"/>
    <d v="1899-12-30T00:06:00"/>
    <d v="1899-12-30T00:06:00"/>
    <d v="1899-12-30T00:12:00"/>
    <d v="1899-12-30T00:25:00"/>
    <d v="1899-12-30T00:08:00"/>
    <d v="1899-12-30T00:00:00"/>
    <d v="1899-12-30T00:00:00"/>
    <d v="1899-12-30T00:00:00"/>
    <d v="1899-12-30T00:00:00"/>
    <m/>
    <x v="5"/>
    <n v="31"/>
    <d v="1899-12-30T00:10:00"/>
    <n v="3"/>
    <n v="9.6774193548387094E-2"/>
    <n v="0"/>
    <x v="0"/>
    <x v="35"/>
  </r>
  <r>
    <s v="00049"/>
    <s v="LAURA APAZA, LEONEL ALEX"/>
    <s v="76926006"/>
    <d v="1899-12-30T00:08:00"/>
    <d v="1899-12-30T00:19:00"/>
    <d v="1899-12-30T00:07:00"/>
    <d v="1899-12-30T00:14:00"/>
    <d v="1899-12-30T00:05:00"/>
    <d v="1899-12-30T00:12:00"/>
    <d v="1899-12-30T00:00:00"/>
    <d v="1899-12-30T00:09:00"/>
    <d v="1899-12-30T00:13:00"/>
    <d v="1899-12-30T00:07:00"/>
    <d v="1899-12-30T00:16:00"/>
    <d v="1899-12-30T00:06:00"/>
    <d v="1899-12-30T00:00:00"/>
    <d v="1899-12-30T00:00:00"/>
    <d v="1899-12-30T00:00:00"/>
    <d v="1899-12-30T00:12:00"/>
    <d v="1899-12-30T00:00:00"/>
    <d v="1899-12-30T00:00:00"/>
    <d v="1899-12-30T00:11:00"/>
    <d v="1899-12-30T00:28:00"/>
    <d v="1899-12-30T00:00:00"/>
    <d v="1899-12-30T00:35:00"/>
    <d v="1899-12-30T00:19:00"/>
    <d v="1899-12-30T00:33:00"/>
    <d v="1899-12-30T00:20:00"/>
    <d v="1899-12-30T00:20:00"/>
    <d v="1899-12-30T00:17:00"/>
    <d v="1899-12-30T00:00:00"/>
    <d v="1899-12-30T00:14:00"/>
    <d v="1899-12-30T00:01:00"/>
    <d v="1899-12-30T00:00:00"/>
    <m/>
    <x v="5"/>
    <n v="31"/>
    <d v="1899-12-30T00:10:00"/>
    <n v="15"/>
    <n v="0.4838709677419355"/>
    <n v="0"/>
    <x v="0"/>
    <x v="36"/>
  </r>
  <r>
    <s v="00050"/>
    <s v="LAURA VICENTE, DARWIN FERNANDO"/>
    <s v="72167014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3:00"/>
    <d v="1899-12-30T00:00:00"/>
    <d v="1899-12-30T00:08:00"/>
    <d v="1899-12-30T00:00:00"/>
    <d v="1899-12-30T00:03:00"/>
    <d v="1899-12-30T00:01:00"/>
    <d v="1899-12-30T00:03:00"/>
    <m/>
    <x v="5"/>
    <n v="31"/>
    <d v="1899-12-30T00:10:00"/>
    <n v="0"/>
    <n v="0"/>
    <n v="0"/>
    <x v="0"/>
    <x v="37"/>
  </r>
  <r>
    <s v="00051"/>
    <s v="HANCCO RIOS, IMANOL HARVI"/>
    <s v="75914879"/>
    <d v="1899-12-30T00:02:00"/>
    <d v="1899-12-30T00:12:00"/>
    <d v="1899-12-30T00:11:00"/>
    <d v="1899-12-30T00:13:00"/>
    <d v="1899-12-30T00:12:00"/>
    <d v="1899-12-30T00:09:00"/>
    <d v="1899-12-30T00:00:00"/>
    <d v="1899-12-30T00:00:00"/>
    <d v="1899-12-30T00:10:00"/>
    <d v="1899-12-30T00:10:00"/>
    <d v="1899-12-30T00:08:00"/>
    <d v="1899-12-30T00:04:00"/>
    <d v="1899-12-30T00:00:00"/>
    <d v="1899-12-30T00:00:00"/>
    <d v="1899-12-30T00:06:00"/>
    <d v="1899-12-30T00:02:00"/>
    <d v="1899-12-30T00:00:00"/>
    <d v="1899-12-30T00:04:00"/>
    <d v="1899-12-30T00:11:00"/>
    <d v="1899-12-30T00:19:00"/>
    <d v="1899-12-30T00:00:00"/>
    <d v="1899-12-30T00:24:00"/>
    <d v="1899-12-30T00:05:00"/>
    <d v="1899-12-30T00:10:00"/>
    <d v="1899-12-30T00:05:00"/>
    <d v="1899-12-30T00:06:00"/>
    <d v="1899-12-30T00:11:00"/>
    <d v="1899-12-30T00:00:00"/>
    <d v="1899-12-30T00:07:00"/>
    <d v="1899-12-30T00:14:00"/>
    <d v="1899-12-30T00:10:00"/>
    <m/>
    <x v="5"/>
    <n v="31"/>
    <d v="1899-12-30T00:10:00"/>
    <n v="9"/>
    <n v="0.29032258064516131"/>
    <n v="0"/>
    <x v="0"/>
    <x v="38"/>
  </r>
  <r>
    <s v="00052"/>
    <s v="BORDA BURGOS, STEFANO PAOLO"/>
    <s v="72185457"/>
    <d v="1899-12-30T00:12:00"/>
    <d v="1899-12-30T00:01:00"/>
    <d v="1899-12-30T00:02:00"/>
    <d v="1899-12-30T00:01:00"/>
    <d v="1899-12-30T00:02:00"/>
    <d v="1899-12-30T00:19:00"/>
    <d v="1899-12-30T00:00:00"/>
    <d v="1899-12-30T00:00:00"/>
    <d v="1899-12-30T00:05:00"/>
    <d v="1899-12-30T00:22:00"/>
    <d v="1899-12-30T00:00:00"/>
    <d v="1899-12-30T00:03:00"/>
    <d v="1899-12-30T00:00:00"/>
    <d v="1899-12-30T00:00:00"/>
    <d v="1899-12-30T00:00:00"/>
    <d v="1899-12-30T00:00:00"/>
    <d v="1899-12-30T00:00:00"/>
    <d v="1899-12-30T00:00:00"/>
    <d v="1899-12-30T00:00:00"/>
    <d v="1899-12-30T00:05:00"/>
    <d v="1899-12-30T00:00:00"/>
    <d v="1899-12-30T00:00:00"/>
    <d v="1899-12-30T00:16:00"/>
    <d v="1899-12-30T00:00:00"/>
    <d v="1899-12-30T00:24:00"/>
    <d v="1899-12-30T00:15:00"/>
    <d v="1899-12-30T00:09:00"/>
    <d v="1899-12-30T00:00:00"/>
    <d v="1899-12-30T00:02:00"/>
    <d v="1899-12-30T00:01:00"/>
    <d v="1899-12-30T00:00:00"/>
    <m/>
    <x v="5"/>
    <n v="31"/>
    <d v="1899-12-30T00:10:00"/>
    <n v="6"/>
    <n v="0.19354838709677419"/>
    <n v="0"/>
    <x v="0"/>
    <x v="39"/>
  </r>
  <r>
    <s v="00001"/>
    <s v="CACERES CORDOVA, ROCIO SANDRA"/>
    <s v="48429690"/>
    <d v="1899-12-30T00:24:00"/>
    <d v="1899-12-30T00:30:00"/>
    <d v="1899-12-30T00:06:00"/>
    <d v="1899-12-30T00:00:00"/>
    <d v="1899-12-30T00:41:00"/>
    <d v="1899-12-30T00:49:00"/>
    <d v="1899-12-30T00:22:00"/>
    <d v="1899-12-30T00:15:00"/>
    <d v="1899-12-30T00:15:00"/>
    <d v="1899-12-30T00:25:00"/>
    <d v="1899-12-30T00:00:00"/>
    <d v="1899-12-30T00:00:00"/>
    <s v=" 1:23"/>
    <d v="1899-12-30T00:00:00"/>
    <d v="1899-12-30T00:00:00"/>
    <d v="1899-12-30T00:00:00"/>
    <d v="1899-12-30T00:00:00"/>
    <d v="1899-12-30T00:00:00"/>
    <d v="1899-12-30T00:30:00"/>
    <d v="1899-12-30T00:24:00"/>
    <d v="1899-12-30T00:10:00"/>
    <d v="1899-12-30T00:30:00"/>
    <d v="1899-12-30T00:24:00"/>
    <d v="1899-12-30T00:00:00"/>
    <d v="1899-12-30T00:00:00"/>
    <d v="1899-12-30T00:00:00"/>
    <d v="1899-12-30T00:26:00"/>
    <d v="1899-12-30T00:00:00"/>
    <d v="1899-12-30T00:30:00"/>
    <m/>
    <m/>
    <m/>
    <x v="6"/>
    <n v="29"/>
    <d v="1899-12-30T00:10:00"/>
    <n v="14"/>
    <n v="0.48275862068965519"/>
    <n v="0"/>
    <x v="0"/>
    <x v="0"/>
  </r>
  <r>
    <s v="00003"/>
    <s v="LLANOS YAURI, LOURDES LUCIA"/>
    <s v="10602846"/>
    <d v="1899-12-30T00:57:00"/>
    <d v="1899-12-30T00:45:00"/>
    <d v="1899-12-30T00:09:00"/>
    <d v="1899-12-30T00:00:00"/>
    <d v="1899-12-30T00:27:00"/>
    <d v="1899-12-30T00:02:00"/>
    <d v="1899-12-30T00:35:00"/>
    <d v="1899-12-30T00:30:00"/>
    <d v="1899-12-30T00:01:00"/>
    <d v="1899-12-30T00:00:00"/>
    <d v="1899-12-30T00:00:00"/>
    <d v="1899-12-30T00:45:00"/>
    <d v="1899-12-30T00:32:00"/>
    <d v="1899-12-30T00:36:00"/>
    <d v="1899-12-30T00:00:00"/>
    <d v="1899-12-30T00:05:00"/>
    <d v="1899-12-30T00:07:00"/>
    <d v="1899-12-30T00:00:00"/>
    <d v="1899-12-30T00:24:00"/>
    <d v="1899-12-30T00:00:00"/>
    <d v="1899-12-30T00:20:00"/>
    <d v="1899-12-30T00:04:00"/>
    <d v="1899-12-30T00:08:00"/>
    <d v="1899-12-30T00:00:00"/>
    <d v="1899-12-30T00:00:00"/>
    <d v="1899-12-30T00:29:00"/>
    <d v="1899-12-30T00:01:00"/>
    <d v="1899-12-30T00:00:00"/>
    <d v="1899-12-30T00:05:00"/>
    <m/>
    <m/>
    <m/>
    <x v="6"/>
    <n v="29"/>
    <d v="1899-12-30T00:10:00"/>
    <n v="11"/>
    <n v="0.37931034482758619"/>
    <n v="0"/>
    <x v="0"/>
    <x v="1"/>
  </r>
  <r>
    <s v="00004"/>
    <s v="TICLLA RAMOS, MARIELLA"/>
    <s v="72262268"/>
    <d v="1899-12-30T00:06:00"/>
    <d v="1899-12-30T00:14:00"/>
    <d v="1899-12-30T00:08:00"/>
    <d v="1899-12-30T00:00:00"/>
    <d v="1899-12-30T00:33:00"/>
    <d v="1899-12-30T00:03:00"/>
    <d v="1899-12-30T00:18:00"/>
    <d v="1899-12-30T00:10:00"/>
    <d v="1899-12-30T00:02:00"/>
    <d v="1899-12-30T00:10:00"/>
    <d v="1899-12-30T00:00:00"/>
    <d v="1899-12-30T00:28:00"/>
    <d v="1899-12-30T00:16:00"/>
    <d v="1899-12-30T00:40:00"/>
    <d v="1899-12-30T00:16:00"/>
    <d v="1899-12-30T00:23:00"/>
    <d v="1899-12-30T00:13:00"/>
    <d v="1899-12-30T00:00:00"/>
    <d v="1899-12-30T00:22:00"/>
    <d v="1899-12-30T00:09:00"/>
    <d v="1899-12-30T00:47:00"/>
    <d v="1899-12-30T00:00:00"/>
    <d v="1899-12-30T00:00:00"/>
    <d v="1899-12-30T00:04:00"/>
    <d v="1899-12-30T00:00:00"/>
    <d v="1899-12-30T00:27:00"/>
    <d v="1899-12-30T00:16:00"/>
    <d v="1899-12-30T00:00:00"/>
    <d v="1899-12-30T00:03:00"/>
    <m/>
    <m/>
    <m/>
    <x v="6"/>
    <n v="29"/>
    <d v="1899-12-30T00:10:00"/>
    <n v="13"/>
    <n v="0.44827586206896552"/>
    <n v="0"/>
    <x v="0"/>
    <x v="2"/>
  </r>
  <r>
    <s v="00006"/>
    <s v="PARIONA ROSAS, RICHARD"/>
    <s v="71001774"/>
    <d v="1899-12-30T00:13:00"/>
    <d v="1899-12-30T00:05:00"/>
    <d v="1899-12-30T00:25:00"/>
    <d v="1899-12-30T00:00:00"/>
    <d v="1899-12-30T00:00:00"/>
    <d v="1899-12-30T00:20:00"/>
    <d v="1899-12-30T00:05:00"/>
    <d v="1899-12-30T00:12:00"/>
    <d v="1899-12-30T00:11:00"/>
    <d v="1899-12-30T00:00:00"/>
    <d v="1899-12-30T00:00:00"/>
    <d v="1899-12-30T00:06:00"/>
    <d v="1899-12-30T00:21:00"/>
    <d v="1899-12-30T00:14:00"/>
    <d v="1899-12-30T00:38:00"/>
    <d v="1899-12-30T00:01:00"/>
    <d v="1899-12-30T00:01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5:00"/>
    <d v="1899-12-30T00:00:00"/>
    <d v="1899-12-30T00:15:00"/>
    <m/>
    <m/>
    <m/>
    <x v="6"/>
    <n v="29"/>
    <d v="1899-12-30T00:10:00"/>
    <n v="9"/>
    <n v="0.31034482758620691"/>
    <n v="0"/>
    <x v="0"/>
    <x v="3"/>
  </r>
  <r>
    <s v="00008"/>
    <s v="LLANOS ANTAURCO, STEPHEN BORIS"/>
    <s v="46183969"/>
    <d v="1899-12-30T00:10:00"/>
    <d v="1899-12-30T00:00:00"/>
    <d v="1899-12-30T00:13:00"/>
    <d v="1899-12-30T00:00:00"/>
    <d v="1899-12-30T00:26:00"/>
    <d v="1899-12-30T00:02:00"/>
    <d v="1899-12-30T00:13:00"/>
    <d v="1899-12-30T00:08:00"/>
    <d v="1899-12-30T00:00:00"/>
    <d v="1899-12-30T00:00:00"/>
    <d v="1899-12-30T00:00:00"/>
    <d v="1899-12-30T00:00:00"/>
    <d v="1899-12-30T00:07:00"/>
    <d v="1899-12-30T00:00:00"/>
    <d v="1899-12-30T00:11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m/>
    <x v="6"/>
    <n v="29"/>
    <d v="1899-12-30T00:10:00"/>
    <n v="4"/>
    <n v="0.13793103448275862"/>
    <n v="0"/>
    <x v="0"/>
    <x v="5"/>
  </r>
  <r>
    <s v="00010"/>
    <s v="CCAMA ARONI, LUZ MIRELLA"/>
    <s v="76575233"/>
    <d v="1899-12-30T00:26:00"/>
    <d v="1899-12-30T00:15:00"/>
    <d v="1899-12-30T00:06:00"/>
    <d v="1899-12-30T00:00:00"/>
    <d v="1899-12-30T00:52:00"/>
    <d v="1899-12-30T00:32:00"/>
    <d v="1899-12-30T00:12:00"/>
    <d v="1899-12-30T00:28:00"/>
    <d v="1899-12-30T00:18:00"/>
    <d v="1899-12-30T00:00:00"/>
    <d v="1899-12-30T00:00:00"/>
    <d v="1899-12-30T00:17:00"/>
    <d v="1899-12-30T00:16:00"/>
    <d v="1899-12-30T00:00:00"/>
    <d v="1899-12-30T00:03:00"/>
    <d v="1899-12-30T00:17:00"/>
    <d v="1899-12-30T00:20:00"/>
    <d v="1899-12-30T00:00:00"/>
    <d v="1899-12-30T00:24:00"/>
    <d v="1899-12-30T00:18:00"/>
    <d v="1899-12-30T00:30:00"/>
    <d v="1899-12-30T00:38:00"/>
    <d v="1899-12-30T00:06:00"/>
    <d v="1899-12-30T00:12:00"/>
    <d v="1899-12-30T00:00:00"/>
    <d v="1899-12-30T00:21:00"/>
    <d v="1899-12-30T00:15:00"/>
    <d v="1899-12-30T00:00:00"/>
    <d v="1899-12-30T00:02:00"/>
    <m/>
    <m/>
    <m/>
    <x v="6"/>
    <n v="29"/>
    <d v="1899-12-30T00:10:00"/>
    <n v="18"/>
    <n v="0.62068965517241381"/>
    <n v="0"/>
    <x v="0"/>
    <x v="6"/>
  </r>
  <r>
    <s v="00013"/>
    <s v="CAYCHO HUANCA, ANDREA ALESSANDRA"/>
    <s v="76227067"/>
    <d v="1899-12-30T00:33:00"/>
    <d v="1899-12-30T00:15:00"/>
    <d v="1899-12-30T00:17:00"/>
    <d v="1899-12-30T00:00:00"/>
    <d v="1899-12-30T00:17:00"/>
    <d v="1899-12-30T00:00:00"/>
    <d v="1899-12-30T00:08:00"/>
    <d v="1899-12-30T00:17:00"/>
    <d v="1899-12-30T00:13:00"/>
    <d v="1899-12-30T00:00:00"/>
    <d v="1899-12-30T00:00:00"/>
    <d v="1899-12-30T00:09:00"/>
    <d v="1899-12-30T00:12:00"/>
    <d v="1899-12-30T00:12:00"/>
    <d v="1899-12-30T00:08:00"/>
    <d v="1899-12-30T00:05:00"/>
    <d v="1899-12-30T00:01:00"/>
    <d v="1899-12-30T00:00:00"/>
    <d v="1899-12-30T00:05:00"/>
    <d v="1899-12-30T00:07:00"/>
    <d v="1899-12-30T00:12:00"/>
    <d v="1899-12-30T00:19:00"/>
    <d v="1899-12-30T00:00:00"/>
    <d v="1899-12-30T00:00:00"/>
    <d v="1899-12-30T00:00:00"/>
    <d v="1899-12-30T00:05:00"/>
    <d v="1899-12-30T00:08:00"/>
    <d v="1899-12-30T00:00:00"/>
    <d v="1899-12-30T00:08:00"/>
    <m/>
    <m/>
    <m/>
    <x v="6"/>
    <n v="29"/>
    <d v="1899-12-30T00:10:00"/>
    <n v="10"/>
    <n v="0.34482758620689657"/>
    <n v="0"/>
    <x v="1"/>
    <x v="7"/>
  </r>
  <r>
    <s v="00021"/>
    <s v="PRETELL PINTADO, ANGELICA DIANA"/>
    <s v="72648191"/>
    <d v="1899-12-30T00:17:00"/>
    <d v="1899-12-30T00:23:00"/>
    <d v="1899-12-30T00:23:00"/>
    <d v="1899-12-30T00:00:00"/>
    <d v="1899-12-30T00:34:00"/>
    <d v="1899-12-30T00:14:00"/>
    <d v="1899-12-30T00:14:00"/>
    <d v="1899-12-30T00:00:00"/>
    <d v="1899-12-30T00:05:00"/>
    <d v="1899-12-30T00:01:00"/>
    <d v="1899-12-30T00:00:00"/>
    <d v="1899-12-30T00:00:00"/>
    <d v="1899-12-30T00:05:00"/>
    <d v="1899-12-30T00:14:00"/>
    <d v="1899-12-30T00:03:00"/>
    <d v="1899-12-30T00:08:00"/>
    <d v="1899-12-30T00:12:00"/>
    <d v="1899-12-30T00:00:00"/>
    <d v="1899-12-30T00:00:00"/>
    <d v="1899-12-30T00:02:00"/>
    <d v="1899-12-30T00:07:00"/>
    <d v="1899-12-30T00:00:00"/>
    <d v="1899-12-30T00:00:00"/>
    <d v="1899-12-30T00:00:00"/>
    <d v="1899-12-30T00:00:00"/>
    <d v="1899-12-30T00:00:00"/>
    <d v="1899-12-30T00:01:00"/>
    <d v="1899-12-30T00:00:00"/>
    <d v="1899-12-30T00:07:00"/>
    <m/>
    <m/>
    <m/>
    <x v="6"/>
    <n v="29"/>
    <d v="1899-12-30T00:10:00"/>
    <n v="8"/>
    <n v="0.27586206896551724"/>
    <n v="0"/>
    <x v="1"/>
    <x v="11"/>
  </r>
  <r>
    <s v="00023"/>
    <s v="LOPEZ FARIAS, CARLOS JOAQUIN"/>
    <s v="73619936"/>
    <d v="1899-12-30T00:30:00"/>
    <d v="1899-12-30T00:04:00"/>
    <d v="1899-12-30T00:04:00"/>
    <d v="1899-12-30T00:00:00"/>
    <d v="1899-12-30T00:22:00"/>
    <d v="1899-12-30T00:00:00"/>
    <d v="1899-12-30T00:27:00"/>
    <d v="1899-12-30T00:01:00"/>
    <d v="1899-12-30T00:00:00"/>
    <d v="1899-12-30T00:10:00"/>
    <d v="1899-12-30T00:00:00"/>
    <d v="1899-12-30T00:00:00"/>
    <d v="1899-12-30T00:00:00"/>
    <d v="1899-12-30T00:00:00"/>
    <d v="1899-12-30T00:19:00"/>
    <d v="1899-12-30T00:00:00"/>
    <d v="1899-12-30T00:00:00"/>
    <d v="1899-12-30T00:00:00"/>
    <d v="1899-12-30T00:00:00"/>
    <d v="1899-12-30T00:05:00"/>
    <d v="1899-12-30T00:00:00"/>
    <d v="1899-12-30T00:00:00"/>
    <d v="1899-12-30T00:07:00"/>
    <d v="1899-12-30T00:06:00"/>
    <d v="1899-12-30T00:00:00"/>
    <d v="1899-12-30T00:00:00"/>
    <d v="1899-12-30T00:00:00"/>
    <d v="1899-12-30T00:00:00"/>
    <d v="1899-12-30T00:00:00"/>
    <m/>
    <m/>
    <m/>
    <x v="6"/>
    <n v="29"/>
    <d v="1899-12-30T00:10:00"/>
    <n v="4"/>
    <n v="0.13793103448275862"/>
    <n v="0"/>
    <x v="0"/>
    <x v="13"/>
  </r>
  <r>
    <s v="00025"/>
    <s v="CRUZ TAIPE, RONY WALDIR"/>
    <s v="76848378"/>
    <d v="1899-12-30T00:13:00"/>
    <s v=" 8:33"/>
    <d v="1899-12-30T00:05:00"/>
    <d v="1899-12-30T00:00:00"/>
    <d v="1899-12-30T00:08:00"/>
    <d v="1899-12-30T00:01:00"/>
    <d v="1899-12-30T00:02:00"/>
    <d v="1899-12-30T00:00:00"/>
    <d v="1899-12-30T00:02:00"/>
    <d v="1899-12-30T00:00:00"/>
    <d v="1899-12-30T00:00:00"/>
    <d v="1899-12-30T00:00:00"/>
    <d v="1899-12-30T00:00:00"/>
    <d v="1899-12-30T00:00:00"/>
    <d v="1899-12-30T00:00:00"/>
    <d v="1899-12-30T00:01:00"/>
    <d v="1899-12-30T00:00:00"/>
    <d v="1899-12-30T00:00:00"/>
    <d v="1899-12-30T00:00:00"/>
    <d v="1899-12-30T00:05:00"/>
    <d v="1899-12-30T00:22:00"/>
    <d v="1899-12-30T00:00:00"/>
    <d v="1899-12-30T00:00:00"/>
    <d v="1899-12-30T00:00:00"/>
    <d v="1899-12-30T00:00:00"/>
    <d v="1899-12-30T00:04:00"/>
    <d v="1899-12-30T00:08:00"/>
    <d v="1899-12-30T00:00:00"/>
    <d v="1899-12-30T00:08:00"/>
    <m/>
    <m/>
    <m/>
    <x v="6"/>
    <n v="29"/>
    <d v="1899-12-30T00:10:00"/>
    <n v="2"/>
    <n v="6.8965517241379309E-2"/>
    <n v="0"/>
    <x v="0"/>
    <x v="15"/>
  </r>
  <r>
    <s v="00026"/>
    <s v="ANDRADE MERA, MARQUIÑO ANTONY"/>
    <s v="74768155"/>
    <d v="1899-12-30T00:01:00"/>
    <d v="1899-12-30T00:07:00"/>
    <d v="1899-12-30T00:17:00"/>
    <d v="1899-12-30T00:00:00"/>
    <d v="1899-12-30T00:00:00"/>
    <d v="1899-12-30T00:01:00"/>
    <d v="1899-12-30T00:28:00"/>
    <d v="1899-12-30T00:12:00"/>
    <d v="1899-12-30T00:02:00"/>
    <d v="1899-12-30T00:00:00"/>
    <d v="1899-12-30T00:00:00"/>
    <d v="1899-12-30T00:00:00"/>
    <d v="1899-12-30T00:00:00"/>
    <d v="1899-12-30T00:05:00"/>
    <d v="1899-12-30T00:15:00"/>
    <d v="1899-12-30T00:07:00"/>
    <d v="1899-12-30T00:02:00"/>
    <d v="1899-12-30T00:00:00"/>
    <d v="1899-12-30T00:05:00"/>
    <d v="1899-12-30T00:02:00"/>
    <d v="1899-12-30T00:05:00"/>
    <d v="1899-12-30T00:00:00"/>
    <d v="1899-12-30T00:00:00"/>
    <d v="1899-12-30T00:00:00"/>
    <d v="1899-12-30T00:00:00"/>
    <d v="1899-12-30T00:16:00"/>
    <d v="1899-12-30T00:05:00"/>
    <d v="1899-12-30T00:00:00"/>
    <d v="1899-12-30T00:03:00"/>
    <m/>
    <m/>
    <m/>
    <x v="6"/>
    <n v="29"/>
    <d v="1899-12-30T00:10:00"/>
    <n v="5"/>
    <n v="0.17241379310344829"/>
    <n v="0"/>
    <x v="1"/>
    <x v="16"/>
  </r>
  <r>
    <s v="00034"/>
    <s v="MEJIA TORRES, FRANCISCO JAVIER"/>
    <s v="72350882"/>
    <d v="1899-12-30T00:00:00"/>
    <d v="1899-12-30T00:00:00"/>
    <d v="1899-12-30T00:04:00"/>
    <d v="1899-12-30T00:00:00"/>
    <d v="1899-12-30T00:00:00"/>
    <d v="1899-12-30T00:00:00"/>
    <d v="1899-12-30T00:00:00"/>
    <d v="1899-12-30T00:00:00"/>
    <d v="1899-12-30T00:00:00"/>
    <d v="1899-12-30T00:14:00"/>
    <d v="1899-12-30T00:00:00"/>
    <d v="1899-12-30T00:15:00"/>
    <d v="1899-12-30T00:00:00"/>
    <d v="1899-12-30T00:00:00"/>
    <d v="1899-12-30T00:05:00"/>
    <d v="1899-12-30T00:00:00"/>
    <d v="1899-12-30T00:00:00"/>
    <d v="1899-12-30T00:00:00"/>
    <d v="1899-12-30T00:00:00"/>
    <d v="1899-12-30T00:01:00"/>
    <d v="1899-12-30T00:00:00"/>
    <d v="1899-12-30T00:00:00"/>
    <d v="1899-12-30T00:00:00"/>
    <d v="1899-12-30T00:02:00"/>
    <d v="1899-12-30T00:00:00"/>
    <d v="1899-12-30T00:00:00"/>
    <d v="1899-12-30T00:00:00"/>
    <d v="1899-12-30T00:00:00"/>
    <d v="1899-12-30T00:00:00"/>
    <m/>
    <m/>
    <m/>
    <x v="6"/>
    <n v="29"/>
    <d v="1899-12-30T00:10:00"/>
    <n v="2"/>
    <n v="6.8965517241379309E-2"/>
    <n v="0"/>
    <x v="0"/>
    <x v="20"/>
  </r>
  <r>
    <s v="00035"/>
    <s v="GUEVARA CABELLO, CARLOS JEANPIERRE"/>
    <s v="74026944"/>
    <d v="1899-12-30T00:00:00"/>
    <s v=" 2:08"/>
    <d v="1899-12-30T00:04:00"/>
    <d v="1899-12-30T00:00:00"/>
    <s v=" 1:22"/>
    <d v="1899-12-30T00:28:00"/>
    <s v=" 1:25"/>
    <d v="1899-12-30T00:00:00"/>
    <s v=" 1:27"/>
    <s v="F"/>
    <d v="1899-12-30T00:00:00"/>
    <s v=" 1:20"/>
    <d v="1899-12-30T00:00:00"/>
    <d v="1899-12-30T00:00:00"/>
    <d v="1899-12-30T00:00:00"/>
    <s v=" 1:02"/>
    <d v="1899-12-30T00:00:00"/>
    <d v="1899-12-30T00:00:00"/>
    <s v=" 1:08"/>
    <d v="1899-12-30T00:00:00"/>
    <d v="1899-12-30T00:00:00"/>
    <d v="1899-12-30T00:00:00"/>
    <d v="1899-12-30T00:00:00"/>
    <d v="1899-12-30T00:00:00"/>
    <d v="1899-12-30T00:00:00"/>
    <s v=" 1:09"/>
    <d v="1899-12-30T00:04:00"/>
    <d v="1899-12-30T00:00:00"/>
    <d v="1899-12-30T00:25:00"/>
    <m/>
    <m/>
    <m/>
    <x v="6"/>
    <n v="29"/>
    <d v="1899-12-30T00:10:00"/>
    <n v="2"/>
    <n v="6.8965517241379309E-2"/>
    <n v="1"/>
    <x v="0"/>
    <x v="21"/>
  </r>
  <r>
    <s v="00036"/>
    <s v="AMES ESPINOZA, KIMBERLLY"/>
    <s v="75149675"/>
    <s v=" 1:03"/>
    <d v="1899-12-30T00:34:00"/>
    <d v="1899-12-30T00:39:00"/>
    <d v="1899-12-30T00:00:00"/>
    <d v="1899-12-30T00:47:00"/>
    <d v="1899-12-30T00:28:00"/>
    <d v="1899-12-30T00:42:00"/>
    <d v="1899-12-30T00:44:00"/>
    <s v=" 1:27"/>
    <d v="1899-12-30T00:37:00"/>
    <d v="1899-12-30T00:00:00"/>
    <d v="1899-12-30T00:02:00"/>
    <d v="1899-12-30T00:05:00"/>
    <d v="1899-12-30T00:00:00"/>
    <d v="1899-12-30T00:24:00"/>
    <d v="1899-12-30T00:00:00"/>
    <d v="1899-12-30T00:00:00"/>
    <d v="1899-12-30T00:00:00"/>
    <d v="1899-12-30T00:20:00"/>
    <d v="1899-12-30T00:29:00"/>
    <d v="1899-12-30T00:20:00"/>
    <d v="1899-12-30T00:09:00"/>
    <d v="1899-12-30T00:00:00"/>
    <d v="1899-12-30T00:05:00"/>
    <d v="1899-12-30T00:00:00"/>
    <d v="1899-12-30T00:18:00"/>
    <d v="1899-12-30T00:23:00"/>
    <d v="1899-12-30T00:00:00"/>
    <d v="1899-12-30T00:00:00"/>
    <m/>
    <m/>
    <m/>
    <x v="6"/>
    <n v="29"/>
    <d v="1899-12-30T00:10:00"/>
    <n v="13"/>
    <n v="0.44827586206896552"/>
    <n v="0"/>
    <x v="0"/>
    <x v="22"/>
  </r>
  <r>
    <s v="00037"/>
    <s v="ALVARADO ECHAIZ, LILIANA"/>
    <s v="15739413"/>
    <d v="1899-12-30T00:17:00"/>
    <d v="1899-12-30T00:34:00"/>
    <d v="1899-12-30T00:10:00"/>
    <d v="1899-12-30T00:00:00"/>
    <d v="1899-12-30T00:09:00"/>
    <d v="1899-12-30T00:07:00"/>
    <d v="1899-12-30T00:02:00"/>
    <d v="1899-12-30T00:05:00"/>
    <d v="1899-12-30T00:07:00"/>
    <d v="1899-12-30T00:01:00"/>
    <d v="1899-12-30T00:00:00"/>
    <d v="1899-12-30T00:02:00"/>
    <d v="1899-12-30T00:01:00"/>
    <d v="1899-12-30T00:01:00"/>
    <d v="1899-12-30T00:03:00"/>
    <d v="1899-12-30T00:00:00"/>
    <d v="1899-12-30T00:00:00"/>
    <d v="1899-12-30T00:00:00"/>
    <d v="1899-12-30T00:01:00"/>
    <d v="1899-12-30T00:00:00"/>
    <d v="1899-12-30T00:00:00"/>
    <d v="1899-12-30T00:01:00"/>
    <d v="1899-12-30T00:07:00"/>
    <d v="1899-12-30T00:04:00"/>
    <d v="1899-12-30T00:00:00"/>
    <d v="1899-12-30T00:13:00"/>
    <d v="1899-12-30T00:09:00"/>
    <d v="1899-12-30T00:00:00"/>
    <d v="1899-12-30T00:13:00"/>
    <m/>
    <m/>
    <m/>
    <x v="6"/>
    <n v="29"/>
    <d v="1899-12-30T00:10:00"/>
    <n v="4"/>
    <n v="0.13793103448275862"/>
    <n v="0"/>
    <x v="0"/>
    <x v="23"/>
  </r>
  <r>
    <s v="00040"/>
    <s v="MERMA CHILA, MANUEL ENRIQUE"/>
    <s v="75925906"/>
    <d v="1899-12-30T00:01:00"/>
    <d v="1899-12-30T00:22:00"/>
    <d v="1899-12-30T00:01:00"/>
    <d v="1899-12-30T00:00:00"/>
    <d v="1899-12-30T00:06:00"/>
    <d v="1899-12-30T00:12:00"/>
    <d v="1899-12-30T00:12:00"/>
    <d v="1899-12-30T00:00:00"/>
    <d v="1899-12-30T00:03:00"/>
    <d v="1899-12-30T00:02:00"/>
    <d v="1899-12-30T00:00:00"/>
    <d v="1899-12-30T00:02:00"/>
    <d v="1899-12-30T00:01:00"/>
    <d v="1899-12-30T00:12:00"/>
    <d v="1899-12-30T00:10:00"/>
    <d v="1899-12-30T00:16:00"/>
    <d v="1899-12-30T00:00:00"/>
    <d v="1899-12-30T00:00:00"/>
    <d v="1899-12-30T00:00:00"/>
    <d v="1899-12-30T00:02:00"/>
    <d v="1899-12-30T00:04:00"/>
    <d v="1899-12-30T00:06:00"/>
    <d v="1899-12-30T00:00:00"/>
    <d v="1899-12-30T00:00:00"/>
    <d v="1899-12-30T00:00:00"/>
    <d v="1899-12-30T00:02:00"/>
    <d v="1899-12-30T00:00:00"/>
    <d v="1899-12-30T00:00:00"/>
    <d v="1899-12-30T00:00:00"/>
    <m/>
    <m/>
    <m/>
    <x v="6"/>
    <n v="29"/>
    <d v="1899-12-30T00:10:00"/>
    <n v="5"/>
    <n v="0.17241379310344829"/>
    <n v="0"/>
    <x v="0"/>
    <x v="26"/>
  </r>
  <r>
    <s v="00041"/>
    <s v="SANCHEZ PANAIFO, GRECIA DANNAE"/>
    <s v="48420673"/>
    <d v="1899-12-30T00:00:00"/>
    <d v="1899-12-30T00:06:00"/>
    <d v="1899-12-30T00:00:00"/>
    <d v="1899-12-30T00:00:00"/>
    <s v=" 1:12"/>
    <d v="1899-12-30T00:01:00"/>
    <d v="1899-12-30T00:09:00"/>
    <d v="1899-12-30T00:15:00"/>
    <d v="1899-12-30T00:00:00"/>
    <d v="1899-12-30T00:31:00"/>
    <d v="1899-12-30T00:00:00"/>
    <d v="1899-12-30T00:02:00"/>
    <d v="1899-12-30T00:26:00"/>
    <d v="1899-12-30T00:10:00"/>
    <d v="1899-12-30T00:07:00"/>
    <d v="1899-12-30T00:02:00"/>
    <d v="1899-12-30T00:00:00"/>
    <d v="1899-12-30T00:00:00"/>
    <d v="1899-12-30T00:28:00"/>
    <d v="1899-12-30T00:00:00"/>
    <d v="1899-12-30T00:00:00"/>
    <d v="1899-12-30T00:00:00"/>
    <d v="1899-12-30T00:01:00"/>
    <d v="1899-12-30T00:09:00"/>
    <d v="1899-12-30T00:00:00"/>
    <d v="1899-12-30T00:00:00"/>
    <d v="1899-12-30T00:06:00"/>
    <d v="1899-12-30T00:00:00"/>
    <d v="1899-12-30T00:00:00"/>
    <m/>
    <m/>
    <m/>
    <x v="6"/>
    <n v="29"/>
    <d v="1899-12-30T00:10:00"/>
    <n v="4"/>
    <n v="0.13793103448275862"/>
    <n v="0"/>
    <x v="0"/>
    <x v="27"/>
  </r>
  <r>
    <s v="00042"/>
    <s v="CHAVEZ GUILLEN, DIANA CAROLINA"/>
    <s v="71007128"/>
    <d v="1899-12-30T00:02:00"/>
    <d v="1899-12-30T00:11:00"/>
    <d v="1899-12-30T00:32:00"/>
    <d v="1899-12-30T00:00:00"/>
    <d v="1899-12-30T00:19:00"/>
    <d v="1899-12-30T00:04:00"/>
    <d v="1899-12-30T00:05:00"/>
    <d v="1899-12-30T00:04:00"/>
    <d v="1899-12-30T00:05:00"/>
    <d v="1899-12-30T00:01:00"/>
    <d v="1899-12-30T00:00:00"/>
    <d v="1899-12-30T00:02:00"/>
    <s v=" 2:42"/>
    <d v="1899-12-30T00:00:00"/>
    <d v="1899-12-30T00:04:00"/>
    <d v="1899-12-30T00:04:00"/>
    <s v="F"/>
    <d v="1899-12-30T00:00:00"/>
    <d v="1899-12-30T00:02:00"/>
    <d v="1899-12-30T00:02:00"/>
    <d v="1899-12-30T00:10:00"/>
    <d v="1899-12-30T00:03:00"/>
    <d v="1899-12-30T00:00:00"/>
    <d v="1899-12-30T00:00:00"/>
    <d v="1899-12-30T00:00:00"/>
    <d v="1899-12-30T00:01:00"/>
    <d v="1899-12-30T00:05:00"/>
    <d v="1899-12-30T00:00:00"/>
    <d v="1899-12-30T00:00:00"/>
    <m/>
    <m/>
    <m/>
    <x v="6"/>
    <n v="29"/>
    <d v="1899-12-30T00:10:00"/>
    <n v="3"/>
    <n v="0.10344827586206896"/>
    <n v="1"/>
    <x v="1"/>
    <x v="28"/>
  </r>
  <r>
    <s v="00043"/>
    <s v="URDAY CHOQUE, JONATHAN EDGARD"/>
    <s v="71432329"/>
    <d v="1899-12-30T00:04:00"/>
    <d v="1899-12-30T00:02:00"/>
    <d v="1899-12-30T00:22:00"/>
    <d v="1899-12-30T00:00:00"/>
    <s v=" 1:58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m/>
    <x v="6"/>
    <n v="29"/>
    <d v="1899-12-30T00:10:00"/>
    <n v="1"/>
    <n v="3.4482758620689655E-2"/>
    <n v="0"/>
    <x v="0"/>
    <x v="29"/>
  </r>
  <r>
    <s v="00045"/>
    <s v="ALARCON MONTALVAN, YAEL ASHLEY"/>
    <s v="73354131"/>
    <s v=" 1:35"/>
    <s v=" 3:01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m/>
    <x v="6"/>
    <n v="29"/>
    <d v="1899-12-30T00:10:00"/>
    <n v="0"/>
    <n v="0"/>
    <n v="0"/>
    <x v="1"/>
    <x v="31"/>
  </r>
  <r>
    <s v="00046"/>
    <s v="CORDOVA ZEVALLOS, JORGE ENRIQUE"/>
    <s v="74043790"/>
    <d v="1899-12-30T00:25:00"/>
    <d v="1899-12-30T00:00:00"/>
    <d v="1899-12-30T00:04:00"/>
    <d v="1899-12-30T00:00:00"/>
    <d v="1899-12-30T00:11:00"/>
    <d v="1899-12-30T00:00:00"/>
    <d v="1899-12-30T00:00:00"/>
    <d v="1899-12-30T00:08:00"/>
    <d v="1899-12-30T00:00:00"/>
    <d v="1899-12-30T00:00:00"/>
    <d v="1899-12-30T00:00:00"/>
    <d v="1899-12-30T00:00:00"/>
    <d v="1899-12-30T00:06:00"/>
    <d v="1899-12-30T00:00:00"/>
    <d v="1899-12-30T00:00:00"/>
    <d v="1899-12-30T00:04:00"/>
    <d v="1899-12-30T00:00:00"/>
    <d v="1899-12-30T00:00:00"/>
    <d v="1899-12-30T00:00:00"/>
    <d v="1899-12-30T00:01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m/>
    <x v="6"/>
    <n v="29"/>
    <d v="1899-12-30T00:10:00"/>
    <n v="2"/>
    <n v="6.8965517241379309E-2"/>
    <n v="0"/>
    <x v="0"/>
    <x v="33"/>
  </r>
  <r>
    <s v="00047"/>
    <s v="PARIAPAZA DE LA CRUZ, OSCAR ANTONIO"/>
    <s v="72691267"/>
    <d v="1899-12-30T00:02:00"/>
    <d v="1899-12-30T00:04:00"/>
    <d v="1899-12-30T00:04:00"/>
    <d v="1899-12-30T00:00:00"/>
    <d v="1899-12-30T00:09:00"/>
    <d v="1899-12-30T00:00:00"/>
    <d v="1899-12-30T00:00:00"/>
    <d v="1899-12-30T00:10:00"/>
    <d v="1899-12-30T00:00:00"/>
    <d v="1899-12-30T00:00:00"/>
    <d v="1899-12-30T00:00:00"/>
    <d v="1899-12-30T00:01:00"/>
    <d v="1899-12-30T00:05:00"/>
    <d v="1899-12-30T00:02:00"/>
    <d v="1899-12-30T00:00:00"/>
    <d v="1899-12-30T00:01:00"/>
    <d v="1899-12-30T00:00:00"/>
    <d v="1899-12-30T00:00:00"/>
    <d v="1899-12-30T00:02:00"/>
    <d v="1899-12-30T00:00:00"/>
    <d v="1899-12-30T00:07:00"/>
    <d v="1899-12-30T00:00:00"/>
    <d v="1899-12-30T00:08:00"/>
    <d v="1899-12-30T00:03:00"/>
    <d v="1899-12-30T00:00:00"/>
    <d v="1899-12-30T00:04:00"/>
    <d v="1899-12-30T00:04:00"/>
    <d v="1899-12-30T00:00:00"/>
    <d v="1899-12-30T00:02:00"/>
    <m/>
    <m/>
    <m/>
    <x v="6"/>
    <n v="29"/>
    <d v="1899-12-30T00:10:00"/>
    <n v="0"/>
    <n v="0"/>
    <n v="0"/>
    <x v="0"/>
    <x v="34"/>
  </r>
  <r>
    <s v="00048"/>
    <s v="LUJAN VILCAÑAUPA, ALEXANDER MATIAS"/>
    <s v="75367942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3:00"/>
    <d v="1899-12-30T00:03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26:00"/>
    <d v="1899-12-30T00:00:00"/>
    <d v="1899-12-30T00:00:00"/>
    <d v="1899-12-30T00:00:00"/>
    <m/>
    <m/>
    <m/>
    <x v="6"/>
    <n v="29"/>
    <d v="1899-12-30T00:10:00"/>
    <n v="1"/>
    <n v="3.4482758620689655E-2"/>
    <n v="0"/>
    <x v="0"/>
    <x v="35"/>
  </r>
  <r>
    <s v="00049"/>
    <s v="LAURA APAZA, LEONEL ALEX"/>
    <s v="76926006"/>
    <d v="1899-12-30T00:03:00"/>
    <d v="1899-12-30T00:03:00"/>
    <d v="1899-12-30T00:00:00"/>
    <d v="1899-12-30T00:00:00"/>
    <d v="1899-12-30T00:03:00"/>
    <d v="1899-12-30T00:02:00"/>
    <d v="1899-12-30T00:01:00"/>
    <d v="1899-12-30T00:03:00"/>
    <d v="1899-12-30T00:05:00"/>
    <d v="1899-12-30T00:00:00"/>
    <d v="1899-12-30T00:00:00"/>
    <d v="1899-12-30T00:00:00"/>
    <d v="1899-12-30T00:17:00"/>
    <d v="1899-12-30T00:00:00"/>
    <d v="1899-12-30T00:07:00"/>
    <d v="1899-12-30T00:10:00"/>
    <d v="1899-12-30T00:03:00"/>
    <d v="1899-12-30T00:00:00"/>
    <s v="F"/>
    <d v="1899-12-30T00:01:00"/>
    <d v="1899-12-30T00:08:00"/>
    <d v="1899-12-30T00:09:00"/>
    <d v="1899-12-30T00:01:00"/>
    <d v="1899-12-30T00:14:00"/>
    <d v="1899-12-30T00:00:00"/>
    <d v="1899-12-30T00:04:00"/>
    <d v="1899-12-30T00:14:00"/>
    <d v="1899-12-30T00:00:00"/>
    <d v="1899-12-30T00:00:00"/>
    <m/>
    <m/>
    <m/>
    <x v="6"/>
    <n v="29"/>
    <d v="1899-12-30T00:10:00"/>
    <n v="3"/>
    <n v="0.10344827586206896"/>
    <n v="1"/>
    <x v="0"/>
    <x v="36"/>
  </r>
  <r>
    <s v="00050"/>
    <s v="LAURA VICENTE, DARWIN FERNANDO"/>
    <s v="72167014"/>
    <d v="1899-12-30T00:00:00"/>
    <d v="1899-12-30T00:00:00"/>
    <d v="1899-12-30T00:04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m/>
    <m/>
    <m/>
    <x v="6"/>
    <n v="29"/>
    <d v="1899-12-30T00:10:00"/>
    <n v="0"/>
    <n v="0"/>
    <n v="0"/>
    <x v="0"/>
    <x v="37"/>
  </r>
  <r>
    <s v="00051"/>
    <s v="HANCCO RIOS, IMANOL HARVI"/>
    <s v="75914879"/>
    <d v="1899-12-30T00:15:00"/>
    <d v="1899-12-30T00:19:00"/>
    <d v="1899-12-30T00:13:00"/>
    <d v="1899-12-30T00:00:00"/>
    <d v="1899-12-30T00:07:00"/>
    <d v="1899-12-30T00:04:00"/>
    <d v="1899-12-30T00:03:00"/>
    <d v="1899-12-30T00:06:00"/>
    <d v="1899-12-30T00:14:00"/>
    <d v="1899-12-30T00:19:00"/>
    <d v="1899-12-30T00:00:00"/>
    <d v="1899-12-30T00:00:00"/>
    <d v="1899-12-30T00:07:00"/>
    <d v="1899-12-30T00:12:00"/>
    <d v="1899-12-30T00:10:00"/>
    <d v="1899-12-30T00:16:00"/>
    <d v="1899-12-30T00:20:00"/>
    <d v="1899-12-30T00:00:00"/>
    <d v="1899-12-30T00:10:00"/>
    <d v="1899-12-30T00:06:00"/>
    <d v="1899-12-30T00:04:00"/>
    <d v="1899-12-30T00:05:00"/>
    <d v="1899-12-30T00:02:00"/>
    <d v="1899-12-30T00:17:00"/>
    <d v="1899-12-30T00:00:00"/>
    <d v="1899-12-30T00:02:00"/>
    <d v="1899-12-30T00:22:00"/>
    <d v="1899-12-30T00:00:00"/>
    <d v="1899-12-30T00:03:00"/>
    <m/>
    <m/>
    <m/>
    <x v="6"/>
    <n v="29"/>
    <d v="1899-12-30T00:10:00"/>
    <n v="10"/>
    <n v="0.34482758620689657"/>
    <n v="0"/>
    <x v="0"/>
    <x v="38"/>
  </r>
  <r>
    <s v="00052"/>
    <s v="BORDA BURGOS, STEFANO PAOLO"/>
    <s v="72185457"/>
    <d v="1899-12-30T00:31:00"/>
    <d v="1899-12-30T00:01:00"/>
    <d v="1899-12-30T00:04:00"/>
    <d v="1899-12-30T00:00:00"/>
    <d v="1899-12-30T00:25:00"/>
    <d v="1899-12-30T00:00:00"/>
    <d v="1899-12-30T00:09:00"/>
    <d v="1899-12-30T00:19:00"/>
    <d v="1899-12-30T00:00:00"/>
    <d v="1899-12-30T00:00:00"/>
    <d v="1899-12-30T00:00:00"/>
    <d v="1899-12-30T00:00:00"/>
    <d v="1899-12-30T00:00:00"/>
    <d v="1899-12-30T00:29:00"/>
    <d v="1899-12-30T00:29:00"/>
    <d v="1899-12-30T00:04:00"/>
    <d v="1899-12-30T00:00:00"/>
    <d v="1899-12-30T00:00:00"/>
    <d v="1899-12-30T00:22:00"/>
    <d v="1899-12-30T00:20:00"/>
    <d v="1899-12-30T00:00:00"/>
    <d v="1899-12-30T00:00:00"/>
    <d v="1899-12-30T00:00:00"/>
    <d v="1899-12-30T00:03:00"/>
    <d v="1899-12-30T00:00:00"/>
    <d v="1899-12-30T00:27:00"/>
    <d v="1899-12-30T00:00:00"/>
    <d v="1899-12-30T00:00:00"/>
    <d v="1899-12-30T00:27:00"/>
    <m/>
    <m/>
    <m/>
    <x v="6"/>
    <n v="29"/>
    <d v="1899-12-30T00:10:00"/>
    <n v="9"/>
    <n v="0.31034482758620691"/>
    <n v="0"/>
    <x v="0"/>
    <x v="39"/>
  </r>
  <r>
    <s v="00036"/>
    <s v="AMES ESPINOZA, KIMBERLLY"/>
    <s v="75149675"/>
    <d v="1899-12-30T00:18:00"/>
    <s v=" 1:49"/>
    <d v="1899-12-30T00:00:00"/>
    <d v="1899-12-30T00:00:00"/>
    <d v="1899-12-30T00:00:00"/>
    <d v="1899-12-30T00:18:00"/>
    <d v="1899-12-30T00:30:00"/>
    <d v="1899-12-30T00:17:00"/>
    <d v="1899-12-30T00:45:00"/>
    <d v="1899-12-30T00:00:00"/>
    <d v="1899-12-30T00:24:00"/>
    <d v="1899-12-30T00:22:00"/>
    <d v="1899-12-30T00:00:00"/>
    <d v="1899-12-30T00:23:00"/>
    <d v="1899-12-30T00:11:00"/>
    <d v="1899-12-30T00:24:00"/>
    <d v="1899-12-30T00:00:00"/>
    <d v="1899-12-30T00:40:00"/>
    <d v="1899-12-30T00:08:00"/>
    <s v=" 1:56"/>
    <d v="1899-12-30T00:47:00"/>
    <d v="1899-12-30T00:00:00"/>
    <d v="1899-12-30T00:00:00"/>
    <d v="1899-12-30T00:00:00"/>
    <d v="1899-12-30T00:11:00"/>
    <d v="1899-12-30T00:38:00"/>
    <d v="1899-12-30T00:31:00"/>
    <d v="1899-12-30T00:58:00"/>
    <d v="1899-12-30T00:39:00"/>
    <d v="1899-12-30T00:29:00"/>
    <d v="1899-12-30T00:00:00"/>
    <d v="1899-12-30T00:29:00"/>
    <x v="7"/>
    <n v="32"/>
    <d v="1899-12-30T00:10:00"/>
    <n v="19"/>
    <n v="0.59375"/>
    <n v="0"/>
    <x v="0"/>
    <x v="22"/>
  </r>
  <r>
    <s v="00003"/>
    <s v="LLANOS YAURI, LOURDES LUCIA"/>
    <s v="10602846"/>
    <d v="1899-12-30T00:00:00"/>
    <d v="1899-12-30T00:26:00"/>
    <d v="1899-12-30T00:00:00"/>
    <d v="1899-12-30T00:00:00"/>
    <d v="1899-12-30T00:00:00"/>
    <d v="1899-12-30T00:35:00"/>
    <d v="1899-12-30T00:04:00"/>
    <d v="1899-12-30T00:00:00"/>
    <d v="1899-12-30T00:00:00"/>
    <d v="1899-12-30T00:00:00"/>
    <d v="1899-12-30T00:00:00"/>
    <d v="1899-12-30T00:15:00"/>
    <d v="1899-12-30T00:00:00"/>
    <d v="1899-12-30T00:08:00"/>
    <d v="1899-12-30T00:32:00"/>
    <d v="1899-12-30T00:00:00"/>
    <d v="1899-12-30T00:00:00"/>
    <d v="1899-12-30T00:29:00"/>
    <d v="1899-12-30T00:32:00"/>
    <d v="1899-12-30T00:17:00"/>
    <d v="1899-12-30T00:14:00"/>
    <d v="1899-12-30T00:41:00"/>
    <d v="1899-12-30T00:00:00"/>
    <d v="1899-12-30T00:00:00"/>
    <d v="1899-12-30T00:23:00"/>
    <d v="1899-12-30T00:29:00"/>
    <d v="1899-12-30T00:22:00"/>
    <d v="1899-12-30T00:36:00"/>
    <d v="1899-12-30T00:26:00"/>
    <d v="1899-12-30T00:17:00"/>
    <d v="1899-12-30T00:00:00"/>
    <d v="1899-12-30T00:28:00"/>
    <x v="7"/>
    <n v="32"/>
    <d v="1899-12-30T00:10:00"/>
    <n v="16"/>
    <n v="0.5"/>
    <n v="0"/>
    <x v="0"/>
    <x v="1"/>
  </r>
  <r>
    <s v="00010"/>
    <s v="CCAMA ARONI, LUZ MIRELLA"/>
    <s v="76575233"/>
    <d v="1899-12-30T00:00:00"/>
    <d v="1899-12-30T00:16:00"/>
    <d v="1899-12-30T00:00:00"/>
    <d v="1899-12-30T00:00:00"/>
    <d v="1899-12-30T00:00:00"/>
    <d v="1899-12-30T00:00:00"/>
    <d v="1899-12-30T00:15:00"/>
    <d v="1899-12-30T00:03:00"/>
    <d v="1899-12-30T00:05:00"/>
    <d v="1899-12-30T00:00:00"/>
    <d v="1899-12-30T00:17:00"/>
    <d v="1899-12-30T00:18:00"/>
    <d v="1899-12-30T00:00:00"/>
    <d v="1899-12-30T00:21:00"/>
    <d v="1899-12-30T00:15:00"/>
    <d v="1899-12-30T00:13:00"/>
    <d v="1899-12-30T00:00:00"/>
    <d v="1899-12-30T00:00:00"/>
    <d v="1899-12-30T00:00:00"/>
    <d v="1899-12-30T00:08:00"/>
    <d v="1899-12-30T00:21:00"/>
    <d v="1899-12-30T00:00:00"/>
    <d v="1899-12-30T00:14:00"/>
    <d v="1899-12-30T00:00:00"/>
    <d v="1899-12-30T00:23:00"/>
    <d v="1899-12-30T00:27:00"/>
    <d v="1899-12-30T00:15:00"/>
    <d v="1899-12-30T00:20:00"/>
    <d v="1899-12-30T00:09:00"/>
    <d v="1899-12-30T00:00:00"/>
    <d v="1899-12-30T00:00:00"/>
    <d v="1899-12-30T00:02:00"/>
    <x v="7"/>
    <n v="32"/>
    <d v="1899-12-30T00:10:00"/>
    <n v="13"/>
    <n v="0.40625"/>
    <n v="0"/>
    <x v="0"/>
    <x v="6"/>
  </r>
  <r>
    <s v="00013"/>
    <s v="CAYCHO HUANCA, ANDREA ALESSANDRA"/>
    <s v="76227067"/>
    <d v="1899-12-30T00:01:00"/>
    <d v="1899-12-30T00:00:00"/>
    <d v="1899-12-30T00:00:00"/>
    <d v="1899-12-30T00:00:00"/>
    <d v="1899-12-30T00:00:00"/>
    <d v="1899-12-30T00:14:00"/>
    <d v="1899-12-30T00:11:00"/>
    <s v="F"/>
    <d v="1899-12-30T00:00:00"/>
    <d v="1899-12-30T00:00:00"/>
    <d v="1899-12-30T00:16:00"/>
    <d v="1899-12-30T00:15:00"/>
    <d v="1899-12-30T00:00:00"/>
    <d v="1899-12-30T00:04:00"/>
    <d v="1899-12-30T00:07:00"/>
    <d v="1899-12-30T00:00:00"/>
    <d v="1899-12-30T00:00:00"/>
    <d v="1899-12-30T00:11:00"/>
    <d v="1899-12-30T00:17:00"/>
    <d v="1899-12-30T00:17:00"/>
    <d v="1899-12-30T00:08:00"/>
    <d v="1899-12-30T00:16:00"/>
    <d v="1899-12-30T00:08:00"/>
    <d v="1899-12-30T00:00:00"/>
    <s v="F"/>
    <d v="1899-12-30T00:02:00"/>
    <d v="1899-12-30T00:32:00"/>
    <d v="1899-12-30T00:20:00"/>
    <d v="1899-12-30T00:30:00"/>
    <d v="1899-12-30T00:02:00"/>
    <d v="1899-12-30T00:00:00"/>
    <d v="1899-12-30T00:14:00"/>
    <x v="7"/>
    <n v="32"/>
    <d v="1899-12-30T00:10:00"/>
    <n v="12"/>
    <n v="0.375"/>
    <n v="2"/>
    <x v="1"/>
    <x v="7"/>
  </r>
  <r>
    <s v="00037"/>
    <s v="ALVARADO ECHAIZ, LILIANA"/>
    <s v="15739413"/>
    <d v="1899-12-30T00:04:00"/>
    <d v="1899-12-30T00:01:00"/>
    <d v="1899-12-30T00:00:00"/>
    <d v="1899-12-30T00:00:00"/>
    <d v="1899-12-30T00:00:00"/>
    <d v="1899-12-30T00:08:00"/>
    <d v="1899-12-30T00:17:00"/>
    <d v="1899-12-30T00:09:00"/>
    <d v="1899-12-30T00:13:00"/>
    <d v="1899-12-30T00:00:00"/>
    <d v="1899-12-30T00:15:00"/>
    <d v="1899-12-30T00:18:00"/>
    <d v="1899-12-30T00:00:00"/>
    <d v="1899-12-30T00:20:00"/>
    <d v="1899-12-30T00:00:00"/>
    <d v="1899-12-30T00:00:00"/>
    <d v="1899-12-30T00:00:00"/>
    <d v="1899-12-30T00:00:00"/>
    <d v="1899-12-30T00:00:00"/>
    <d v="1899-12-30T00:00:00"/>
    <d v="1899-12-30T00:04:00"/>
    <d v="1899-12-30T00:11:00"/>
    <d v="1899-12-30T00:04:00"/>
    <d v="1899-12-30T00:00:00"/>
    <d v="1899-12-30T00:15:00"/>
    <d v="1899-12-30T00:12:00"/>
    <d v="1899-12-30T00:16:00"/>
    <d v="1899-12-30T00:11:00"/>
    <d v="1899-12-30T00:24:00"/>
    <d v="1899-12-30T00:06:00"/>
    <d v="1899-12-30T00:00:00"/>
    <d v="1899-12-30T00:00:00"/>
    <x v="7"/>
    <n v="32"/>
    <d v="1899-12-30T00:10:00"/>
    <n v="11"/>
    <n v="0.34375"/>
    <n v="0"/>
    <x v="0"/>
    <x v="23"/>
  </r>
  <r>
    <s v="00021"/>
    <s v="PRETELL PINTADO, ANGELICA DIANA"/>
    <s v="72648191"/>
    <d v="1899-12-30T00:11:00"/>
    <d v="1899-12-30T00:00:00"/>
    <d v="1899-12-30T00:00:00"/>
    <d v="1899-12-30T00:00:00"/>
    <d v="1899-12-30T00:00:00"/>
    <d v="1899-12-30T00:07:00"/>
    <d v="1899-12-30T00:19:00"/>
    <d v="1899-12-30T00:01:00"/>
    <d v="1899-12-30T00:00:00"/>
    <d v="1899-12-30T00:00:00"/>
    <d v="1899-12-30T00:00:00"/>
    <d v="1899-12-30T00:26:00"/>
    <d v="1899-12-30T00:00:00"/>
    <d v="1899-12-30T00:12:00"/>
    <d v="1899-12-30T00:00:00"/>
    <d v="1899-12-30T00:08:00"/>
    <d v="1899-12-30T00:00:00"/>
    <d v="1899-12-30T00:14:00"/>
    <d v="1899-12-30T00:05:00"/>
    <d v="1899-12-30T00:17:00"/>
    <d v="1899-12-30T00:06:00"/>
    <d v="1899-12-30T00:20:00"/>
    <d v="1899-12-30T00:00:00"/>
    <d v="1899-12-30T00:00:00"/>
    <d v="1899-12-30T00:00:00"/>
    <d v="1899-12-30T00:08:00"/>
    <s v=" 2:10"/>
    <d v="1899-12-30T00:16:00"/>
    <s v=" 1:25"/>
    <d v="1899-12-30T00:12:00"/>
    <d v="1899-12-30T00:00:00"/>
    <d v="1899-12-30T00:17:00"/>
    <x v="7"/>
    <n v="32"/>
    <d v="1899-12-30T00:10:00"/>
    <n v="10"/>
    <n v="0.3125"/>
    <n v="0"/>
    <x v="1"/>
    <x v="11"/>
  </r>
  <r>
    <s v="00047"/>
    <s v="PARIAPAZA DE LA CRUZ, OSCAR ANTONIO"/>
    <s v="72691267"/>
    <d v="1899-12-30T00:00:00"/>
    <d v="1899-12-30T00:00:00"/>
    <d v="1899-12-30T00:00:00"/>
    <d v="1899-12-30T00:00:00"/>
    <d v="1899-12-30T00:00:00"/>
    <s v=" 4:30"/>
    <d v="1899-12-30T00:06:00"/>
    <d v="1899-12-30T00:16:00"/>
    <d v="1899-12-30T00:20:00"/>
    <d v="1899-12-30T00:00:00"/>
    <d v="1899-12-30T00:15:00"/>
    <d v="1899-12-30T00:30:00"/>
    <d v="1899-12-30T00:00:00"/>
    <d v="1899-12-30T00:07:00"/>
    <d v="1899-12-30T00:12:00"/>
    <d v="1899-12-30T00:02:00"/>
    <d v="1899-12-30T00:00:00"/>
    <d v="1899-12-30T00:12:00"/>
    <d v="1899-12-30T00:10:00"/>
    <d v="1899-12-30T00:08:00"/>
    <d v="1899-12-30T00:17:00"/>
    <d v="1899-12-30T00:15:00"/>
    <d v="1899-12-30T00:01:00"/>
    <d v="1899-12-30T00:00:00"/>
    <d v="1899-12-30T00:05:00"/>
    <d v="1899-12-30T00:10:00"/>
    <d v="1899-12-30T00:09:00"/>
    <d v="1899-12-30T00:19:00"/>
    <d v="1899-12-30T00:15:00"/>
    <d v="1899-12-30T00:02:00"/>
    <d v="1899-12-30T00:00:00"/>
    <d v="1899-12-30T00:05:00"/>
    <x v="7"/>
    <n v="32"/>
    <d v="1899-12-30T00:10:00"/>
    <n v="10"/>
    <n v="0.3125"/>
    <n v="0"/>
    <x v="0"/>
    <x v="34"/>
  </r>
  <r>
    <s v="00001"/>
    <s v="CACERES CORDOVA, ROCIO SANDRA"/>
    <s v="48429690"/>
    <d v="1899-12-30T00:00:00"/>
    <d v="1899-12-30T00:00:00"/>
    <d v="1899-12-30T00:00:00"/>
    <d v="1899-12-30T00:00:00"/>
    <d v="1899-12-30T00:00:00"/>
    <d v="1899-12-30T00:24:00"/>
    <d v="1899-12-30T00:27:00"/>
    <d v="1899-12-30T00:02:00"/>
    <d v="1899-12-30T00:00:00"/>
    <d v="1899-12-30T00:00:00"/>
    <d v="1899-12-30T00:30:00"/>
    <d v="1899-12-30T00:00:00"/>
    <d v="1899-12-30T00:00:00"/>
    <d v="1899-12-30T00:03:00"/>
    <d v="1899-12-30T00:02:00"/>
    <d v="1899-12-30T00:04:00"/>
    <d v="1899-12-30T00:00:00"/>
    <d v="1899-12-30T00:28:00"/>
    <d v="1899-12-30T00:13:00"/>
    <d v="1899-12-30T00:00:00"/>
    <d v="1899-12-30T00:00:00"/>
    <d v="1899-12-30T00:00:00"/>
    <d v="1899-12-30T00:12:00"/>
    <d v="1899-12-30T00:00:00"/>
    <d v="1899-12-30T00:51:00"/>
    <d v="1899-12-30T00:20:00"/>
    <d v="1899-12-30T00:06:00"/>
    <d v="1899-12-30T00:57:00"/>
    <d v="1899-12-30T00:02:00"/>
    <d v="1899-12-30T00:00:00"/>
    <d v="1899-12-30T00:00:00"/>
    <d v="1899-12-30T00:00:00"/>
    <x v="7"/>
    <n v="32"/>
    <d v="1899-12-30T00:10:00"/>
    <n v="9"/>
    <n v="0.28125"/>
    <n v="0"/>
    <x v="0"/>
    <x v="0"/>
  </r>
  <r>
    <s v="00023"/>
    <s v="LOPEZ FARIAS, CARLOS JOAQUIN"/>
    <s v="73619936"/>
    <s v="F"/>
    <s v="F"/>
    <d v="1899-12-30T00:00:00"/>
    <d v="1899-12-30T00:00:00"/>
    <d v="1899-12-30T00:00:00"/>
    <s v=" 2:10"/>
    <d v="1899-12-30T00:00:00"/>
    <d v="1899-12-30T00:00:00"/>
    <d v="1899-12-30T00:17:00"/>
    <d v="1899-12-30T00:00:00"/>
    <d v="1899-12-30T00:00:00"/>
    <d v="1899-12-30T00:16:00"/>
    <d v="1899-12-30T00:00:00"/>
    <d v="1899-12-30T00:00:00"/>
    <d v="1899-12-30T00:00:00"/>
    <d v="1899-12-30T00:05:00"/>
    <d v="1899-12-30T00:00:00"/>
    <d v="1899-12-30T00:00:00"/>
    <d v="1899-12-30T00:06:00"/>
    <d v="1899-12-30T00:29:00"/>
    <d v="1899-12-30T00:24:00"/>
    <d v="1899-12-30T00:17:00"/>
    <d v="1899-12-30T00:23:00"/>
    <d v="1899-12-30T00:00:00"/>
    <d v="1899-12-30T00:00:00"/>
    <d v="1899-12-30T00:12:00"/>
    <d v="1899-12-30T00:08:00"/>
    <d v="1899-12-30T00:04:00"/>
    <d v="1899-12-30T00:47:00"/>
    <d v="1899-12-30T00:00:00"/>
    <d v="1899-12-30T00:00:00"/>
    <d v="1899-12-30T00:03:00"/>
    <x v="7"/>
    <n v="32"/>
    <d v="1899-12-30T00:10:00"/>
    <n v="8"/>
    <n v="0.25"/>
    <n v="2"/>
    <x v="0"/>
    <x v="13"/>
  </r>
  <r>
    <s v="00051"/>
    <s v="HANCCO RIOS, IMANOL HARVI"/>
    <s v="75914879"/>
    <d v="1899-12-30T00:05:00"/>
    <d v="1899-12-30T00:31:00"/>
    <d v="1899-12-30T00:00:00"/>
    <d v="1899-12-30T00:00:00"/>
    <d v="1899-12-30T00:00:00"/>
    <s v="F"/>
    <d v="1899-12-30T00:03:00"/>
    <d v="1899-12-30T00:03:00"/>
    <d v="1899-12-30T00:00:00"/>
    <d v="1899-12-30T00:00:00"/>
    <d v="1899-12-30T00:04:00"/>
    <d v="1899-12-30T00:04:00"/>
    <d v="1899-12-30T00:00:00"/>
    <d v="1899-12-30T00:07:00"/>
    <d v="1899-12-30T00:06:00"/>
    <d v="1899-12-30T00:25:00"/>
    <d v="1899-12-30T00:00:00"/>
    <d v="1899-12-30T00:19:00"/>
    <d v="1899-12-30T00:16:00"/>
    <d v="1899-12-30T00:09:00"/>
    <d v="1899-12-30T00:24:00"/>
    <d v="1899-12-30T00:00:00"/>
    <d v="1899-12-30T00:08:00"/>
    <d v="1899-12-30T00:00:00"/>
    <d v="1899-12-30T00:06:00"/>
    <s v="F"/>
    <d v="1899-12-30T00:14:00"/>
    <d v="1899-12-30T00:11:00"/>
    <d v="1899-12-30T00:30:00"/>
    <d v="1899-12-30T00:08:00"/>
    <d v="1899-12-30T00:00:00"/>
    <d v="1899-12-30T00:09:00"/>
    <x v="7"/>
    <n v="32"/>
    <d v="1899-12-30T00:10:00"/>
    <n v="8"/>
    <n v="0.25"/>
    <n v="2"/>
    <x v="0"/>
    <x v="38"/>
  </r>
  <r>
    <s v="00004"/>
    <s v="TICLLA RAMOS, MARIELLA"/>
    <s v="72262268"/>
    <d v="1899-12-30T00:00:00"/>
    <d v="1899-12-30T00:01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5:00"/>
    <d v="1899-12-30T00:07:00"/>
    <d v="1899-12-30T00:00:00"/>
    <d v="1899-12-30T00:00:00"/>
    <d v="1899-12-30T00:03:00"/>
    <d v="1899-12-30T00:24:00"/>
    <d v="1899-12-30T00:04:00"/>
    <d v="1899-12-30T00:00:00"/>
    <d v="1899-12-30T00:30:00"/>
    <d v="1899-12-30T00:04:00"/>
    <d v="1899-12-30T00:00:00"/>
    <s v=" 1:02"/>
    <d v="1899-12-30T00:26:00"/>
    <d v="1899-12-30T00:23:00"/>
    <d v="1899-12-30T00:44:00"/>
    <d v="1899-12-30T00:32:00"/>
    <d v="1899-12-30T00:10:00"/>
    <d v="1899-12-30T00:00:00"/>
    <d v="1899-12-30T00:28:00"/>
    <x v="7"/>
    <n v="32"/>
    <d v="1899-12-30T00:10:00"/>
    <n v="7"/>
    <n v="0.21875"/>
    <n v="0"/>
    <x v="0"/>
    <x v="2"/>
  </r>
  <r>
    <s v="00046"/>
    <s v="CORDOVA ZEVALLOS, JORGE ENRIQUE"/>
    <s v="7404379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23:00"/>
    <d v="1899-12-30T00:00:00"/>
    <d v="1899-12-30T00:01:00"/>
    <d v="1899-12-30T00:17:00"/>
    <d v="1899-12-30T00:00:00"/>
    <d v="1899-12-30T00:00:00"/>
    <d v="1899-12-30T00:17:00"/>
    <d v="1899-12-30T00:01:00"/>
    <d v="1899-12-30T00:00:00"/>
    <d v="1899-12-30T00:01:00"/>
    <d v="1899-12-30T00:08:00"/>
    <d v="1899-12-30T00:11:00"/>
    <d v="1899-12-30T00:17:00"/>
    <d v="1899-12-30T00:04:00"/>
    <d v="1899-12-30T00:00:00"/>
    <d v="1899-12-30T00:00:00"/>
    <d v="1899-12-30T00:17:00"/>
    <d v="1899-12-30T00:00:00"/>
    <d v="1899-12-30T00:34:00"/>
    <d v="1899-12-30T00:00:00"/>
    <d v="1899-12-30T00:00:00"/>
    <d v="1899-12-30T00:01:00"/>
    <d v="1899-12-30T00:00:00"/>
    <d v="1899-12-30T00:00:00"/>
    <x v="7"/>
    <n v="32"/>
    <d v="1899-12-30T00:10:00"/>
    <n v="7"/>
    <n v="0.21875"/>
    <n v="0"/>
    <x v="0"/>
    <x v="33"/>
  </r>
  <r>
    <s v="00040"/>
    <s v="MERMA CHILA, MANUEL ENRIQUE"/>
    <s v="75925906"/>
    <d v="1899-12-30T00:10:00"/>
    <d v="1899-12-30T00:00:00"/>
    <d v="1899-12-30T00:00:00"/>
    <d v="1899-12-30T00:00:00"/>
    <d v="1899-12-30T00:00:00"/>
    <d v="1899-12-30T00:00:00"/>
    <d v="1899-12-30T00:03:00"/>
    <d v="1899-12-30T00:01:00"/>
    <d v="1899-12-30T00:00:00"/>
    <d v="1899-12-30T00:00:00"/>
    <d v="1899-12-30T00:06:00"/>
    <d v="1899-12-30T00:00:00"/>
    <d v="1899-12-30T00:00:00"/>
    <d v="1899-12-30T00:00:00"/>
    <d v="1899-12-30T00:11:00"/>
    <d v="1899-12-30T00:00:00"/>
    <d v="1899-12-30T00:00:00"/>
    <d v="1899-12-30T00:09:00"/>
    <d v="1899-12-30T00:00:00"/>
    <d v="1899-12-30T00:05:00"/>
    <d v="1899-12-30T00:23:00"/>
    <d v="1899-12-30T00:00:00"/>
    <d v="1899-12-30T00:00:00"/>
    <d v="1899-12-30T00:00:00"/>
    <d v="1899-12-30T00:04:00"/>
    <d v="1899-12-30T00:12:00"/>
    <d v="1899-12-30T00:03:00"/>
    <d v="1899-12-30T00:04:00"/>
    <d v="1899-12-30T00:16:00"/>
    <d v="1899-12-30T00:00:00"/>
    <d v="1899-12-30T00:00:00"/>
    <d v="1899-12-30T00:11:00"/>
    <x v="7"/>
    <n v="32"/>
    <d v="1899-12-30T00:10:00"/>
    <n v="5"/>
    <n v="0.15625"/>
    <n v="0"/>
    <x v="0"/>
    <x v="26"/>
  </r>
  <r>
    <s v="00049"/>
    <s v="LAURA APAZA, LEONEL ALEX"/>
    <s v="76926006"/>
    <d v="1899-12-30T00:00:00"/>
    <d v="1899-12-30T00:00:00"/>
    <d v="1899-12-30T00:00:00"/>
    <d v="1899-12-30T00:00:00"/>
    <d v="1899-12-30T00:00:00"/>
    <d v="1899-12-30T00:08:00"/>
    <d v="1899-12-30T00:00:00"/>
    <d v="1899-12-30T00:03:00"/>
    <d v="1899-12-30T00:12:00"/>
    <d v="1899-12-30T00:00:00"/>
    <d v="1899-12-30T00:07:00"/>
    <d v="1899-12-30T00:00:00"/>
    <d v="1899-12-30T00:00:00"/>
    <d v="1899-12-30T00:00:00"/>
    <d v="1899-12-30T00:02:00"/>
    <d v="1899-12-30T00:02:00"/>
    <d v="1899-12-30T00:00:00"/>
    <d v="1899-12-30T00:11:00"/>
    <d v="1899-12-30T00:15:00"/>
    <d v="1899-12-30T00:00:00"/>
    <d v="1899-12-30T00:00:00"/>
    <d v="1899-12-30T00:00:00"/>
    <d v="1899-12-30T00:22:00"/>
    <d v="1899-12-30T00:00:00"/>
    <d v="1899-12-30T00:08:00"/>
    <d v="1899-12-30T00:17:00"/>
    <d v="1899-12-30T00:04:00"/>
    <d v="1899-12-30T00:10:00"/>
    <s v=" 1:27"/>
    <d v="1899-12-30T00:02:00"/>
    <d v="1899-12-30T00:00:00"/>
    <d v="1899-12-30T00:06:00"/>
    <x v="7"/>
    <n v="32"/>
    <d v="1899-12-30T00:10:00"/>
    <n v="5"/>
    <n v="0.15625"/>
    <n v="0"/>
    <x v="0"/>
    <x v="36"/>
  </r>
  <r>
    <s v="00006"/>
    <s v="PARIONA ROSAS, RICHARD"/>
    <s v="71001774"/>
    <d v="1899-12-30T00:00:00"/>
    <d v="1899-12-30T00:01:00"/>
    <d v="1899-12-30T00:00:00"/>
    <d v="1899-12-30T00:00:00"/>
    <d v="1899-12-30T00:00:00"/>
    <d v="1899-12-30T00:12:00"/>
    <d v="1899-12-30T00:00:00"/>
    <d v="1899-12-30T00:00:00"/>
    <d v="1899-12-30T00:00:00"/>
    <d v="1899-12-30T00:00:00"/>
    <d v="1899-12-30T00:18:00"/>
    <d v="1899-12-30T00:15:00"/>
    <d v="1899-12-30T00:00:00"/>
    <d v="1899-12-30T00:00:00"/>
    <d v="1899-12-30T00:00:00"/>
    <d v="1899-12-30T00:00:00"/>
    <d v="1899-12-30T00:00:00"/>
    <d v="1899-12-30T00:11:00"/>
    <d v="1899-12-30T00:08:00"/>
    <d v="1899-12-30T00:02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1:00"/>
    <x v="7"/>
    <n v="32"/>
    <d v="1899-12-30T00:10:00"/>
    <n v="4"/>
    <n v="0.125"/>
    <n v="0"/>
    <x v="0"/>
    <x v="3"/>
  </r>
  <r>
    <s v="00008"/>
    <s v="LLANOS ANTAURCO, STEPHEN BORIS"/>
    <s v="46183969"/>
    <d v="1899-12-30T00:00:00"/>
    <d v="1899-12-30T00:00:00"/>
    <d v="1899-12-30T00:00:00"/>
    <d v="1899-12-30T00:00:00"/>
    <d v="1899-12-30T00:00:00"/>
    <d v="1899-12-30T00:05:00"/>
    <d v="1899-12-30T00:00:00"/>
    <d v="1899-12-30T00:00:00"/>
    <d v="1899-12-30T00:00:00"/>
    <d v="1899-12-30T00:00:00"/>
    <d v="1899-12-30T00:00:00"/>
    <d v="1899-12-30T00:15:00"/>
    <d v="1899-12-30T00:00:00"/>
    <d v="1899-12-30T00:00:00"/>
    <d v="1899-12-30T00:01:00"/>
    <d v="1899-12-30T00:00:00"/>
    <d v="1899-12-30T00:00:00"/>
    <d v="1899-12-30T00:00:00"/>
    <d v="1899-12-30T00:05:00"/>
    <d v="1899-12-30T00:01:00"/>
    <d v="1899-12-30T00:01:00"/>
    <d v="1899-12-30T00:01:00"/>
    <d v="1899-12-30T00:00:00"/>
    <d v="1899-12-30T00:00:00"/>
    <d v="1899-12-30T00:00:00"/>
    <d v="1899-12-30T00:06:00"/>
    <d v="1899-12-30T00:00:00"/>
    <d v="1899-12-30T00:20:00"/>
    <d v="1899-12-30T00:20:00"/>
    <d v="1899-12-30T00:00:00"/>
    <d v="1899-12-30T00:00:00"/>
    <d v="1899-12-30T00:00:00"/>
    <x v="7"/>
    <n v="32"/>
    <d v="1899-12-30T00:10:00"/>
    <n v="3"/>
    <n v="9.375E-2"/>
    <n v="0"/>
    <x v="0"/>
    <x v="5"/>
  </r>
  <r>
    <s v="00050"/>
    <s v="LAURA VICENTE, DARWIN FERNANDO"/>
    <s v="72167014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17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12:00"/>
    <d v="1899-12-30T00:00:00"/>
    <d v="1899-12-30T00:11:00"/>
    <d v="1899-12-30T00:00:00"/>
    <d v="1899-12-30T00:00:00"/>
    <d v="1899-12-30T00:01:00"/>
    <x v="7"/>
    <n v="32"/>
    <d v="1899-12-30T00:10:00"/>
    <n v="3"/>
    <n v="9.375E-2"/>
    <n v="0"/>
    <x v="0"/>
    <x v="37"/>
  </r>
  <r>
    <s v="00025"/>
    <s v="CRUZ TAIPE, RONY WALDIR"/>
    <s v="76848378"/>
    <d v="1899-12-30T00:03:00"/>
    <d v="1899-12-30T00:00:00"/>
    <d v="1899-12-30T00:00:00"/>
    <d v="1899-12-30T00:00:00"/>
    <d v="1899-12-30T00:00:00"/>
    <d v="1899-12-30T00:06:00"/>
    <d v="1899-12-30T00:00:00"/>
    <d v="1899-12-30T00:01:00"/>
    <d v="1899-12-30T00:10:00"/>
    <d v="1899-12-30T00:00:00"/>
    <d v="1899-12-30T00:07:00"/>
    <d v="1899-12-30T00:00:00"/>
    <d v="1899-12-30T00:00:00"/>
    <d v="1899-12-30T00:00:00"/>
    <d v="1899-12-30T00:00:00"/>
    <d v="1899-12-30T00:00:00"/>
    <d v="1899-12-30T00:00:00"/>
    <d v="1899-12-30T00:04:00"/>
    <d v="1899-12-30T00:00:00"/>
    <d v="1899-12-30T00:00:00"/>
    <d v="1899-12-30T00:30:00"/>
    <d v="1899-12-30T00:00:00"/>
    <d v="1899-12-30T00:00:00"/>
    <d v="1899-12-30T00:00:00"/>
    <d v="1899-12-30T00:04:00"/>
    <d v="1899-12-30T00:21:00"/>
    <d v="1899-12-30T00:09:00"/>
    <d v="1899-12-30T00:00:00"/>
    <d v="1899-12-30T00:09:00"/>
    <d v="1899-12-30T00:00:00"/>
    <d v="1899-12-30T00:00:00"/>
    <d v="1899-12-30T00:00:00"/>
    <x v="7"/>
    <n v="32"/>
    <d v="1899-12-30T00:10:00"/>
    <n v="2"/>
    <n v="6.25E-2"/>
    <n v="0"/>
    <x v="0"/>
    <x v="15"/>
  </r>
  <r>
    <s v="00026"/>
    <s v="ANDRADE MERA, MARQUIÑO ANTONY"/>
    <s v="74768155"/>
    <d v="1899-12-30T00:01:00"/>
    <d v="1899-12-30T00:00:00"/>
    <d v="1899-12-30T00:00:00"/>
    <d v="1899-12-30T00:00:00"/>
    <d v="1899-12-30T00:00:00"/>
    <d v="1899-12-30T00:21:00"/>
    <d v="1899-12-30T00:00:00"/>
    <d v="1899-12-30T00:17:00"/>
    <s v="F"/>
    <d v="1899-12-30T00:00:00"/>
    <d v="1899-12-30T00:00:00"/>
    <s v="F"/>
    <d v="1899-12-30T00:00:00"/>
    <s v="F"/>
    <s v="F"/>
    <d v="1899-12-30T00:03:00"/>
    <d v="1899-12-30T00:00:00"/>
    <s v="F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7"/>
    <n v="32"/>
    <d v="1899-12-30T00:10:00"/>
    <n v="2"/>
    <n v="6.25E-2"/>
    <n v="5"/>
    <x v="1"/>
    <x v="16"/>
  </r>
  <r>
    <s v="00052"/>
    <s v="BORDA BURGOS, STEFANO PAOLO"/>
    <s v="72185457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4:00"/>
    <d v="1899-12-30T00:00:00"/>
    <d v="1899-12-30T00:00:00"/>
    <d v="1899-12-30T00:17:00"/>
    <d v="1899-12-30T00:00:00"/>
    <d v="1899-12-30T00:00:00"/>
    <d v="1899-12-30T00:02:00"/>
    <d v="1899-12-30T00:00:00"/>
    <d v="1899-12-30T00:00:00"/>
    <d v="1899-12-30T00:00:00"/>
    <d v="1899-12-30T00:29:00"/>
    <d v="1899-12-30T00:00:00"/>
    <d v="1899-12-30T00:00:00"/>
    <d v="1899-12-30T00:00:00"/>
    <d v="1899-12-30T00:00:00"/>
    <d v="1899-12-30T00:00:00"/>
    <d v="1899-12-30T00:00:00"/>
    <d v="1899-12-30T00:00:00"/>
    <d v="1899-12-30T00:04:00"/>
    <d v="1899-12-30T00:00:00"/>
    <d v="1899-12-30T00:03:00"/>
    <d v="1899-12-30T00:05:00"/>
    <d v="1899-12-30T00:00:00"/>
    <d v="1899-12-30T00:05:00"/>
    <x v="7"/>
    <n v="32"/>
    <d v="1899-12-30T00:10:00"/>
    <n v="2"/>
    <n v="6.25E-2"/>
    <n v="0"/>
    <x v="0"/>
    <x v="39"/>
  </r>
  <r>
    <s v="00034"/>
    <s v="MEJIA TORRES, FRANCISCO JAVIER"/>
    <s v="72350882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2:00"/>
    <d v="1899-12-30T00:17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1:00"/>
    <d v="1899-12-30T00:00:00"/>
    <d v="1899-12-30T00:00:00"/>
    <d v="1899-12-30T00:00:00"/>
    <d v="1899-12-30T00:00:00"/>
    <d v="1899-12-30T00:00:00"/>
    <d v="1899-12-30T00:00:00"/>
    <d v="1899-12-30T00:00:00"/>
    <x v="7"/>
    <n v="32"/>
    <d v="1899-12-30T00:10:00"/>
    <n v="1"/>
    <n v="3.125E-2"/>
    <n v="0"/>
    <x v="0"/>
    <x v="20"/>
  </r>
  <r>
    <s v="00035"/>
    <s v="GUEVARA CABELLO, CARLOS JEANPIERRE"/>
    <s v="74026944"/>
    <d v="1899-12-30T00:00:00"/>
    <d v="1899-12-30T00:00:00"/>
    <d v="1899-12-30T00:00:00"/>
    <d v="1899-12-30T00:00:00"/>
    <d v="1899-12-30T00:00:00"/>
    <d v="1899-12-30T00:00:00"/>
    <d v="1899-12-30T00:00:00"/>
    <d v="1899-12-30T00:01:00"/>
    <d v="1899-12-30T00:00:00"/>
    <d v="1899-12-30T00:00:00"/>
    <d v="1899-12-30T00:00:00"/>
    <d v="1899-12-30T00:18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7"/>
    <n v="32"/>
    <d v="1899-12-30T00:10:00"/>
    <n v="1"/>
    <n v="3.125E-2"/>
    <n v="0"/>
    <x v="0"/>
    <x v="21"/>
  </r>
  <r>
    <s v="00014"/>
    <s v="PAREDES GUILLEN, ROCIO NOEMI"/>
    <s v="09930677"/>
    <d v="1899-12-30T00:00:00"/>
    <d v="1899-12-30T00:00:00"/>
    <d v="1899-12-30T00:00:00"/>
    <d v="1899-12-30T00:00:00"/>
    <d v="1899-12-30T00:00:00"/>
    <d v="1899-12-30T00:01:00"/>
    <d v="1899-12-30T00:00:00"/>
    <d v="1899-12-30T00:00:00"/>
    <d v="1899-12-30T00:05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2:00"/>
    <d v="1899-12-30T00:00:00"/>
    <d v="1899-12-30T00:00:00"/>
    <d v="1899-12-30T00:00:00"/>
    <d v="1899-12-30T00:00:00"/>
    <x v="7"/>
    <n v="32"/>
    <d v="1899-12-30T00:10:00"/>
    <n v="0"/>
    <n v="0"/>
    <n v="0"/>
    <x v="1"/>
    <x v="8"/>
  </r>
  <r>
    <s v="00048"/>
    <s v="LUJAN VILCAÑAUPA, ALEXANDER MATIAS"/>
    <s v="75367942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3:00"/>
    <d v="1899-12-30T00:00:00"/>
    <d v="1899-12-30T00:00:00"/>
    <d v="1899-12-30T00:00:00"/>
    <d v="1899-12-30T00:00:00"/>
    <d v="1899-12-30T00:05:00"/>
    <d v="1899-12-30T00:00:00"/>
    <d v="1899-12-30T00:00:00"/>
    <d v="1899-12-30T00:05:00"/>
    <d v="1899-12-30T00:03:00"/>
    <d v="1899-12-30T00:00:00"/>
    <d v="1899-12-30T00:06:00"/>
    <d v="1899-12-30T00:00:00"/>
    <d v="1899-12-30T00:03:00"/>
    <d v="1899-12-30T00:02:00"/>
    <d v="1899-12-30T00:03:00"/>
    <d v="1899-12-30T00:00:00"/>
    <d v="1899-12-30T00:00:00"/>
    <d v="1899-12-30T00:00:00"/>
    <x v="7"/>
    <n v="32"/>
    <d v="1899-12-30T00:10:00"/>
    <n v="0"/>
    <n v="0"/>
    <n v="0"/>
    <x v="0"/>
    <x v="35"/>
  </r>
  <r>
    <s v="00041"/>
    <s v="SANCHEZ PANAIFO, GRECIA DANNAE"/>
    <s v="48420673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7"/>
    <n v="32"/>
    <d v="1899-12-30T00:10:00"/>
    <n v="0"/>
    <n v="0"/>
    <n v="0"/>
    <x v="0"/>
    <x v="27"/>
  </r>
  <r>
    <s v="00043"/>
    <s v="URDAY CHOQUE, JONATHAN EDGARD"/>
    <s v="71432329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d v="1899-12-30T00:00:00"/>
    <x v="7"/>
    <n v="32"/>
    <d v="1899-12-30T00:10:00"/>
    <n v="0"/>
    <n v="0"/>
    <n v="0"/>
    <x v="0"/>
    <x v="29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8"/>
    <m/>
    <m/>
    <m/>
    <m/>
    <m/>
    <x v="2"/>
    <x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624D3-E33B-46C0-9AC1-E1865F209D1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colHeaderCaption="Mes">
  <location ref="A3:F27" firstHeaderRow="1" firstDataRow="2" firstDataCol="1" rowPageCount="1" colPageCount="1"/>
  <pivotFields count="43">
    <pivotField showAll="0"/>
    <pivotField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h="1" x="0"/>
        <item h="1" x="1"/>
        <item h="1" x="2"/>
        <item h="1" x="3"/>
        <item x="4"/>
        <item x="5"/>
        <item x="6"/>
        <item x="7"/>
        <item h="1" x="8"/>
        <item t="default"/>
      </items>
    </pivotField>
    <pivotField showAll="0"/>
    <pivotField showAll="0"/>
    <pivotField dataField="1" showAll="0"/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axis="axisRow" showAll="0" sortType="descending">
      <items count="42">
        <item x="40"/>
        <item x="4"/>
        <item x="31"/>
        <item x="5"/>
        <item x="39"/>
        <item x="10"/>
        <item x="12"/>
        <item x="15"/>
        <item x="9"/>
        <item x="8"/>
        <item x="0"/>
        <item x="3"/>
        <item x="34"/>
        <item x="16"/>
        <item x="30"/>
        <item x="2"/>
        <item x="26"/>
        <item x="24"/>
        <item x="6"/>
        <item x="1"/>
        <item x="18"/>
        <item x="23"/>
        <item x="36"/>
        <item x="22"/>
        <item x="33"/>
        <item x="29"/>
        <item x="32"/>
        <item x="19"/>
        <item x="14"/>
        <item x="17"/>
        <item x="38"/>
        <item x="27"/>
        <item x="20"/>
        <item x="28"/>
        <item x="37"/>
        <item x="13"/>
        <item x="21"/>
        <item x="25"/>
        <item x="11"/>
        <item x="7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2"/>
  </rowFields>
  <rowItems count="23">
    <i>
      <x v="18"/>
    </i>
    <i>
      <x v="15"/>
    </i>
    <i>
      <x v="10"/>
    </i>
    <i>
      <x v="23"/>
    </i>
    <i>
      <x v="21"/>
    </i>
    <i>
      <x v="19"/>
    </i>
    <i>
      <x v="11"/>
    </i>
    <i>
      <x v="30"/>
    </i>
    <i>
      <x v="31"/>
    </i>
    <i>
      <x v="12"/>
    </i>
    <i>
      <x v="35"/>
    </i>
    <i>
      <x v="3"/>
    </i>
    <i>
      <x v="24"/>
    </i>
    <i>
      <x v="22"/>
    </i>
    <i>
      <x v="4"/>
    </i>
    <i>
      <x v="7"/>
    </i>
    <i>
      <x v="16"/>
    </i>
    <i>
      <x v="36"/>
    </i>
    <i>
      <x v="40"/>
    </i>
    <i>
      <x v="32"/>
    </i>
    <i>
      <x v="34"/>
    </i>
    <i>
      <x v="25"/>
    </i>
    <i t="grand">
      <x/>
    </i>
  </rowItems>
  <colFields count="1">
    <field x="35"/>
  </colFields>
  <colItems count="5">
    <i>
      <x v="4"/>
    </i>
    <i>
      <x v="5"/>
    </i>
    <i>
      <x v="6"/>
    </i>
    <i>
      <x v="7"/>
    </i>
    <i t="grand">
      <x/>
    </i>
  </colItems>
  <pageFields count="1">
    <pageField fld="41" hier="-1"/>
  </pageFields>
  <dataFields count="1">
    <dataField name="Suma de Tard. &gt; 00:10" fld="38" baseField="0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0AEC-AADA-49F7-8FB5-16E1F095FDA5}">
  <dimension ref="A1:BT235"/>
  <sheetViews>
    <sheetView tabSelected="1" topLeftCell="A188" zoomScale="85" zoomScaleNormal="85" workbookViewId="0">
      <selection activeCell="B217" sqref="B217"/>
    </sheetView>
  </sheetViews>
  <sheetFormatPr baseColWidth="10" defaultColWidth="11.5" defaultRowHeight="11.25"/>
  <cols>
    <col min="1" max="1" width="7.25" style="1" bestFit="1" customWidth="1"/>
    <col min="2" max="2" width="31.625" style="1" bestFit="1" customWidth="1"/>
    <col min="3" max="3" width="9.75" style="1" customWidth="1"/>
    <col min="4" max="4" width="5.875" style="1" customWidth="1"/>
    <col min="5" max="5" width="7.125" style="1" customWidth="1"/>
    <col min="6" max="6" width="5.625" style="1" customWidth="1"/>
    <col min="7" max="7" width="6.875" style="1" customWidth="1"/>
    <col min="8" max="8" width="7" style="1" customWidth="1"/>
    <col min="9" max="9" width="6.5" style="1" customWidth="1"/>
    <col min="10" max="10" width="6" style="1" customWidth="1"/>
    <col min="11" max="11" width="5.75" style="1" customWidth="1"/>
    <col min="12" max="12" width="6.25" style="1" customWidth="1"/>
    <col min="13" max="13" width="6.75" style="1" customWidth="1"/>
    <col min="14" max="14" width="5.625" style="1" customWidth="1"/>
    <col min="15" max="15" width="5.25" style="1" customWidth="1"/>
    <col min="16" max="35" width="4.375" style="1" bestFit="1" customWidth="1"/>
    <col min="36" max="36" width="7.875" style="1" customWidth="1"/>
    <col min="37" max="37" width="7.75" style="1" customWidth="1"/>
    <col min="38" max="38" width="12.5" style="1" customWidth="1"/>
    <col min="39" max="39" width="10.75" style="1" customWidth="1"/>
    <col min="40" max="40" width="8.125" style="1" customWidth="1"/>
    <col min="41" max="41" width="9.75" style="1" customWidth="1"/>
    <col min="42" max="42" width="13.875" style="1" customWidth="1"/>
    <col min="43" max="43" width="14.25" style="1" customWidth="1"/>
    <col min="44" max="44" width="9.875" style="1" customWidth="1"/>
    <col min="45" max="45" width="12.25" style="1" customWidth="1"/>
    <col min="46" max="46" width="11.5" style="1"/>
    <col min="47" max="47" width="13.75" style="1" bestFit="1" customWidth="1"/>
    <col min="48" max="48" width="12.625" style="1" customWidth="1"/>
    <col min="49" max="16384" width="11.5" style="1"/>
  </cols>
  <sheetData>
    <row r="1" spans="1:48" s="9" customFormat="1">
      <c r="A1" s="7" t="s">
        <v>0</v>
      </c>
      <c r="B1" s="7" t="s">
        <v>1</v>
      </c>
      <c r="C1" s="7" t="s">
        <v>2</v>
      </c>
      <c r="D1" s="7">
        <v>1</v>
      </c>
      <c r="E1" s="7">
        <v>2</v>
      </c>
      <c r="F1" s="7">
        <v>3</v>
      </c>
      <c r="G1" s="7">
        <v>4</v>
      </c>
      <c r="H1" s="7">
        <v>5</v>
      </c>
      <c r="I1" s="7">
        <v>6</v>
      </c>
      <c r="J1" s="7">
        <v>7</v>
      </c>
      <c r="K1" s="7">
        <v>8</v>
      </c>
      <c r="L1" s="7">
        <v>9</v>
      </c>
      <c r="M1" s="7">
        <v>10</v>
      </c>
      <c r="N1" s="7">
        <v>11</v>
      </c>
      <c r="O1" s="7">
        <v>12</v>
      </c>
      <c r="P1" s="7">
        <v>13</v>
      </c>
      <c r="Q1" s="7">
        <v>14</v>
      </c>
      <c r="R1" s="7">
        <v>15</v>
      </c>
      <c r="S1" s="7">
        <v>16</v>
      </c>
      <c r="T1" s="7">
        <v>17</v>
      </c>
      <c r="U1" s="7">
        <v>18</v>
      </c>
      <c r="V1" s="7">
        <v>19</v>
      </c>
      <c r="W1" s="7">
        <v>20</v>
      </c>
      <c r="X1" s="7">
        <v>21</v>
      </c>
      <c r="Y1" s="7">
        <v>22</v>
      </c>
      <c r="Z1" s="7">
        <v>23</v>
      </c>
      <c r="AA1" s="7">
        <v>24</v>
      </c>
      <c r="AB1" s="7">
        <v>25</v>
      </c>
      <c r="AC1" s="7">
        <v>26</v>
      </c>
      <c r="AD1" s="7">
        <v>27</v>
      </c>
      <c r="AE1" s="7">
        <v>28</v>
      </c>
      <c r="AF1" s="7">
        <v>29</v>
      </c>
      <c r="AG1" s="9">
        <v>30</v>
      </c>
      <c r="AH1" s="9">
        <v>31</v>
      </c>
      <c r="AI1" s="8">
        <v>32</v>
      </c>
      <c r="AJ1" s="8" t="s">
        <v>102</v>
      </c>
      <c r="AK1" s="9" t="s">
        <v>190</v>
      </c>
      <c r="AL1" s="9" t="s">
        <v>191</v>
      </c>
      <c r="AM1" s="12" t="s">
        <v>192</v>
      </c>
      <c r="AN1" s="11" t="s">
        <v>193</v>
      </c>
      <c r="AO1" s="9" t="s">
        <v>194</v>
      </c>
      <c r="AP1" s="9" t="s">
        <v>202</v>
      </c>
      <c r="AQ1" s="9" t="s">
        <v>205</v>
      </c>
    </row>
    <row r="2" spans="1:48">
      <c r="A2" s="2" t="s">
        <v>3</v>
      </c>
      <c r="B2" s="2" t="s">
        <v>4</v>
      </c>
      <c r="C2" s="2" t="s">
        <v>5</v>
      </c>
      <c r="D2" s="5">
        <v>1.1111111111111112E-2</v>
      </c>
      <c r="E2" s="5">
        <v>1.2500000000000001E-2</v>
      </c>
      <c r="F2" s="5">
        <v>1.0416666666666666E-2</v>
      </c>
      <c r="G2" s="5">
        <v>0</v>
      </c>
      <c r="H2" s="5">
        <v>1.0416666666666666E-2</v>
      </c>
      <c r="I2" s="2" t="s">
        <v>49</v>
      </c>
      <c r="J2" s="5">
        <v>0</v>
      </c>
      <c r="K2" s="5">
        <v>0</v>
      </c>
      <c r="L2" s="5">
        <v>4.1666666666666666E-3</v>
      </c>
      <c r="M2" s="5">
        <v>0</v>
      </c>
      <c r="N2" s="5">
        <v>0</v>
      </c>
      <c r="O2" s="5">
        <v>1.5972222222222221E-2</v>
      </c>
      <c r="P2" s="5">
        <v>1.5277777777777777E-2</v>
      </c>
      <c r="Q2" s="5">
        <v>1.5277777777777777E-2</v>
      </c>
      <c r="R2" s="2" t="s">
        <v>142</v>
      </c>
      <c r="S2" s="5">
        <v>1.0416666666666666E-2</v>
      </c>
      <c r="T2" s="5">
        <v>0</v>
      </c>
      <c r="U2" s="5">
        <v>0</v>
      </c>
      <c r="V2" s="5">
        <v>0</v>
      </c>
      <c r="W2" s="5">
        <v>1.5277777777777777E-2</v>
      </c>
      <c r="X2" s="5">
        <v>1.0416666666666666E-2</v>
      </c>
      <c r="Y2" s="5">
        <v>6.9444444444444441E-3</v>
      </c>
      <c r="Z2" s="5">
        <v>0</v>
      </c>
      <c r="AA2" s="5">
        <v>0</v>
      </c>
      <c r="AB2" s="5">
        <v>0</v>
      </c>
      <c r="AC2" s="2" t="s">
        <v>49</v>
      </c>
      <c r="AD2" s="5">
        <v>0</v>
      </c>
      <c r="AE2" s="5">
        <v>1.8055555555555554E-2</v>
      </c>
      <c r="AF2" s="5">
        <v>0</v>
      </c>
      <c r="AG2" s="5">
        <v>0</v>
      </c>
      <c r="AH2" s="5">
        <v>0</v>
      </c>
      <c r="AI2" s="2"/>
      <c r="AJ2" s="1">
        <v>1</v>
      </c>
      <c r="AK2" s="1">
        <f t="shared" ref="AK2:AK44" si="0">COUNTA(D2:AI2)</f>
        <v>31</v>
      </c>
      <c r="AL2" s="10">
        <v>6.9444444444444441E-3</v>
      </c>
      <c r="AM2" s="1">
        <f t="shared" ref="AM2:AM65" si="1">COUNTIF(D2:AI2, "&gt;00:10")</f>
        <v>11</v>
      </c>
      <c r="AN2" s="13">
        <f t="shared" ref="AN2:AN44" si="2">+AM2/AK2</f>
        <v>0.35483870967741937</v>
      </c>
      <c r="AO2" s="14">
        <f t="shared" ref="AO2:AO44" si="3">COUNTIF(D2:AI2,"F")</f>
        <v>2</v>
      </c>
      <c r="AP2" s="1" t="s">
        <v>203</v>
      </c>
      <c r="AQ2" s="1" t="str">
        <f>CONCATENATE(MID(AU2,1,AV2-1)," ",(MID(AS2,1,AT2-1)))</f>
        <v>ROCIO CACERES</v>
      </c>
      <c r="AR2" s="1">
        <f t="shared" ref="AR2:AR65" si="4">SEARCH(",",B2)</f>
        <v>16</v>
      </c>
      <c r="AS2" s="1" t="str">
        <f t="shared" ref="AS2:AS65" si="5">MID(B2,1,AR2-1)</f>
        <v>CACERES CORDOVA</v>
      </c>
      <c r="AT2" s="1">
        <f>SEARCH(" ",AS2)</f>
        <v>8</v>
      </c>
      <c r="AU2" s="1" t="str">
        <f>MID(B2,AR2+2,90)</f>
        <v>ROCIO SANDRA</v>
      </c>
      <c r="AV2" s="1">
        <f>SEARCH(" ",AU2)</f>
        <v>6</v>
      </c>
    </row>
    <row r="3" spans="1:48">
      <c r="A3" s="2" t="s">
        <v>8</v>
      </c>
      <c r="B3" s="2" t="s">
        <v>9</v>
      </c>
      <c r="C3" s="2" t="s">
        <v>10</v>
      </c>
      <c r="D3" s="5">
        <v>0</v>
      </c>
      <c r="E3" s="5">
        <v>2.0833333333333332E-2</v>
      </c>
      <c r="F3" s="5">
        <v>2.361111111111111E-2</v>
      </c>
      <c r="G3" s="5">
        <v>0</v>
      </c>
      <c r="H3" s="5">
        <v>4.1666666666666666E-3</v>
      </c>
      <c r="I3" s="2" t="s">
        <v>49</v>
      </c>
      <c r="J3" s="5">
        <v>0</v>
      </c>
      <c r="K3" s="5">
        <v>1.3194444444444444E-2</v>
      </c>
      <c r="L3" s="5">
        <v>2.5000000000000001E-2</v>
      </c>
      <c r="M3" s="5">
        <v>6.9444444444444441E-3</v>
      </c>
      <c r="N3" s="5">
        <v>0</v>
      </c>
      <c r="O3" s="5">
        <v>2.5000000000000001E-2</v>
      </c>
      <c r="P3" s="5">
        <v>3.125E-2</v>
      </c>
      <c r="Q3" s="5">
        <v>1.8749999999999999E-2</v>
      </c>
      <c r="R3" s="5">
        <v>3.6805555555555557E-2</v>
      </c>
      <c r="S3" s="5">
        <v>0</v>
      </c>
      <c r="T3" s="5">
        <v>0</v>
      </c>
      <c r="U3" s="5">
        <v>0</v>
      </c>
      <c r="V3" s="5">
        <v>0</v>
      </c>
      <c r="W3" s="2" t="s">
        <v>49</v>
      </c>
      <c r="X3" s="2" t="s">
        <v>49</v>
      </c>
      <c r="Y3" s="2" t="s">
        <v>49</v>
      </c>
      <c r="Z3" s="2" t="s">
        <v>49</v>
      </c>
      <c r="AA3" s="2" t="s">
        <v>49</v>
      </c>
      <c r="AB3" s="5">
        <v>0</v>
      </c>
      <c r="AC3" s="2" t="s">
        <v>49</v>
      </c>
      <c r="AD3" s="5">
        <v>0</v>
      </c>
      <c r="AE3" s="5">
        <v>2.8472222222222222E-2</v>
      </c>
      <c r="AF3" s="5">
        <v>0</v>
      </c>
      <c r="AG3" s="5">
        <v>9.7222222222222224E-3</v>
      </c>
      <c r="AH3" s="5">
        <v>1.3194444444444444E-2</v>
      </c>
      <c r="AI3" s="2"/>
      <c r="AJ3" s="1">
        <v>1</v>
      </c>
      <c r="AK3" s="1">
        <f t="shared" si="0"/>
        <v>31</v>
      </c>
      <c r="AL3" s="10">
        <v>6.9444444444444441E-3</v>
      </c>
      <c r="AM3" s="1">
        <f t="shared" si="1"/>
        <v>11</v>
      </c>
      <c r="AN3" s="13">
        <f t="shared" si="2"/>
        <v>0.35483870967741937</v>
      </c>
      <c r="AO3" s="14">
        <f t="shared" si="3"/>
        <v>7</v>
      </c>
      <c r="AP3" s="1" t="s">
        <v>203</v>
      </c>
      <c r="AQ3" s="1" t="str">
        <f t="shared" ref="AQ3:AQ65" si="6">CONCATENATE(MID(AU3,1,AV3-1)," ",(MID(AS3,1,AT3-1)))</f>
        <v>LOURDES LLANOS</v>
      </c>
      <c r="AR3" s="1">
        <f t="shared" si="4"/>
        <v>13</v>
      </c>
      <c r="AS3" s="1" t="str">
        <f t="shared" si="5"/>
        <v>LLANOS YAURI</v>
      </c>
      <c r="AT3" s="1">
        <f t="shared" ref="AT3:AT66" si="7">SEARCH(" ",AS3)</f>
        <v>7</v>
      </c>
      <c r="AU3" s="1" t="str">
        <f t="shared" ref="AU3:AU66" si="8">MID(B3,AR3+2,90)</f>
        <v>LOURDES LUCIA</v>
      </c>
      <c r="AV3" s="1">
        <f t="shared" ref="AV3:AV66" si="9">SEARCH(" ",AU3)</f>
        <v>8</v>
      </c>
    </row>
    <row r="4" spans="1:48">
      <c r="A4" s="2" t="s">
        <v>11</v>
      </c>
      <c r="B4" s="2" t="s">
        <v>12</v>
      </c>
      <c r="C4" s="2" t="s">
        <v>13</v>
      </c>
      <c r="D4" s="2" t="s">
        <v>49</v>
      </c>
      <c r="E4" s="2" t="s">
        <v>49</v>
      </c>
      <c r="F4" s="2" t="s">
        <v>49</v>
      </c>
      <c r="G4" s="5">
        <v>0</v>
      </c>
      <c r="H4" s="2" t="s">
        <v>49</v>
      </c>
      <c r="I4" s="2" t="s">
        <v>49</v>
      </c>
      <c r="J4" s="5">
        <v>0</v>
      </c>
      <c r="K4" s="2" t="s">
        <v>49</v>
      </c>
      <c r="L4" s="2" t="s">
        <v>49</v>
      </c>
      <c r="M4" s="2" t="s">
        <v>49</v>
      </c>
      <c r="N4" s="5">
        <v>0</v>
      </c>
      <c r="O4" s="2" t="s">
        <v>49</v>
      </c>
      <c r="P4" s="2" t="s">
        <v>49</v>
      </c>
      <c r="Q4" s="2" t="s">
        <v>49</v>
      </c>
      <c r="R4" s="2" t="s">
        <v>49</v>
      </c>
      <c r="S4" s="2" t="s">
        <v>49</v>
      </c>
      <c r="T4" s="5">
        <v>0</v>
      </c>
      <c r="U4" s="5">
        <v>0</v>
      </c>
      <c r="V4" s="5">
        <v>0</v>
      </c>
      <c r="W4" s="2" t="s">
        <v>49</v>
      </c>
      <c r="X4" s="2" t="s">
        <v>49</v>
      </c>
      <c r="Y4" s="5">
        <v>2.9166666666666667E-2</v>
      </c>
      <c r="Z4" s="5">
        <v>1.9444444444444445E-2</v>
      </c>
      <c r="AA4" s="5">
        <v>0</v>
      </c>
      <c r="AB4" s="5">
        <v>0</v>
      </c>
      <c r="AC4" s="5">
        <v>1.5277777777777777E-2</v>
      </c>
      <c r="AD4" s="5">
        <v>1.4583333333333334E-2</v>
      </c>
      <c r="AE4" s="5">
        <v>0</v>
      </c>
      <c r="AF4" s="5">
        <v>9.7222222222222224E-3</v>
      </c>
      <c r="AG4" s="5">
        <v>1.0416666666666666E-2</v>
      </c>
      <c r="AH4" s="5">
        <v>2.0833333333333333E-3</v>
      </c>
      <c r="AI4" s="2"/>
      <c r="AJ4" s="1">
        <v>1</v>
      </c>
      <c r="AK4" s="1">
        <f t="shared" si="0"/>
        <v>31</v>
      </c>
      <c r="AL4" s="10">
        <v>6.9444444444444441E-3</v>
      </c>
      <c r="AM4" s="1">
        <f t="shared" si="1"/>
        <v>6</v>
      </c>
      <c r="AN4" s="13">
        <f t="shared" si="2"/>
        <v>0.19354838709677419</v>
      </c>
      <c r="AO4" s="14">
        <f t="shared" si="3"/>
        <v>15</v>
      </c>
      <c r="AP4" s="1" t="s">
        <v>203</v>
      </c>
      <c r="AQ4" s="1" t="str">
        <f>CONCATENATE(AU4," ",(MID(AS4,1,AT4-1)))</f>
        <v>MARIELLA TICLLA</v>
      </c>
      <c r="AR4" s="1">
        <f t="shared" si="4"/>
        <v>13</v>
      </c>
      <c r="AS4" s="1" t="str">
        <f t="shared" si="5"/>
        <v>TICLLA RAMOS</v>
      </c>
      <c r="AT4" s="1">
        <f t="shared" si="7"/>
        <v>7</v>
      </c>
      <c r="AU4" s="1" t="str">
        <f t="shared" si="8"/>
        <v>MARIELLA</v>
      </c>
      <c r="AV4" s="1">
        <v>0</v>
      </c>
    </row>
    <row r="5" spans="1:48">
      <c r="A5" s="2" t="s">
        <v>14</v>
      </c>
      <c r="B5" s="2" t="s">
        <v>15</v>
      </c>
      <c r="C5" s="2" t="s">
        <v>16</v>
      </c>
      <c r="D5" s="5">
        <v>0</v>
      </c>
      <c r="E5" s="2" t="s">
        <v>49</v>
      </c>
      <c r="F5" s="2" t="s">
        <v>49</v>
      </c>
      <c r="G5" s="5">
        <v>0</v>
      </c>
      <c r="H5" s="5">
        <v>0</v>
      </c>
      <c r="I5" s="2" t="s">
        <v>49</v>
      </c>
      <c r="J5" s="5">
        <v>0</v>
      </c>
      <c r="K5" s="5">
        <v>0</v>
      </c>
      <c r="L5" s="5">
        <v>9.0277777777777769E-3</v>
      </c>
      <c r="M5" s="5">
        <v>1.2500000000000001E-2</v>
      </c>
      <c r="N5" s="5">
        <v>0</v>
      </c>
      <c r="O5" s="5">
        <v>3.472222222222222E-3</v>
      </c>
      <c r="P5" s="5">
        <v>0</v>
      </c>
      <c r="Q5" s="5">
        <v>1.6666666666666666E-2</v>
      </c>
      <c r="R5" s="2" t="s">
        <v>143</v>
      </c>
      <c r="S5" s="5">
        <v>2.4305555555555556E-2</v>
      </c>
      <c r="T5" s="5">
        <v>0</v>
      </c>
      <c r="U5" s="5">
        <v>0</v>
      </c>
      <c r="V5" s="5">
        <v>0</v>
      </c>
      <c r="W5" s="5">
        <v>3.472222222222222E-3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1.3888888888888888E-2</v>
      </c>
      <c r="AE5" s="5">
        <v>2.0833333333333333E-3</v>
      </c>
      <c r="AF5" s="5">
        <v>9.7222222222222224E-3</v>
      </c>
      <c r="AG5" s="5">
        <v>0</v>
      </c>
      <c r="AH5" s="5">
        <v>5.5555555555555558E-3</v>
      </c>
      <c r="AI5" s="2"/>
      <c r="AJ5" s="1">
        <v>1</v>
      </c>
      <c r="AK5" s="1">
        <f t="shared" si="0"/>
        <v>31</v>
      </c>
      <c r="AL5" s="10">
        <v>6.9444444444444441E-3</v>
      </c>
      <c r="AM5" s="1">
        <f t="shared" si="1"/>
        <v>6</v>
      </c>
      <c r="AN5" s="13">
        <f t="shared" si="2"/>
        <v>0.19354838709677419</v>
      </c>
      <c r="AO5" s="14">
        <f t="shared" si="3"/>
        <v>3</v>
      </c>
      <c r="AP5" s="1" t="s">
        <v>203</v>
      </c>
      <c r="AQ5" s="1" t="str">
        <f>CONCATENATE(AU5," ",(MID(AS5,1,AT5-1)))</f>
        <v>RICHARD PARIONA</v>
      </c>
      <c r="AR5" s="1">
        <f t="shared" si="4"/>
        <v>14</v>
      </c>
      <c r="AS5" s="1" t="str">
        <f t="shared" si="5"/>
        <v>PARIONA ROSAS</v>
      </c>
      <c r="AT5" s="1">
        <f t="shared" si="7"/>
        <v>8</v>
      </c>
      <c r="AU5" s="1" t="str">
        <f t="shared" si="8"/>
        <v>RICHARD</v>
      </c>
      <c r="AV5" s="1" t="e">
        <f t="shared" si="9"/>
        <v>#VALUE!</v>
      </c>
    </row>
    <row r="6" spans="1:48">
      <c r="A6" s="2" t="s">
        <v>144</v>
      </c>
      <c r="B6" s="2" t="s">
        <v>145</v>
      </c>
      <c r="C6" s="2" t="s">
        <v>146</v>
      </c>
      <c r="D6" s="5">
        <v>0</v>
      </c>
      <c r="E6" s="5">
        <v>1.3888888888888889E-3</v>
      </c>
      <c r="F6" s="5">
        <v>5.5555555555555558E-3</v>
      </c>
      <c r="G6" s="5">
        <v>0</v>
      </c>
      <c r="H6" s="5">
        <v>6.9444444444444447E-4</v>
      </c>
      <c r="I6" s="2" t="s">
        <v>49</v>
      </c>
      <c r="J6" s="5">
        <v>0</v>
      </c>
      <c r="K6" s="5">
        <v>5.5555555555555558E-3</v>
      </c>
      <c r="L6" s="5">
        <v>9.0277777777777769E-3</v>
      </c>
      <c r="M6" s="5">
        <v>1.0416666666666666E-2</v>
      </c>
      <c r="N6" s="5">
        <v>0</v>
      </c>
      <c r="O6" s="5">
        <v>1.6666666666666666E-2</v>
      </c>
      <c r="P6" s="5">
        <v>1.1805555555555555E-2</v>
      </c>
      <c r="Q6" s="5">
        <v>1.5972222222222221E-2</v>
      </c>
      <c r="R6" s="5">
        <v>2.9861111111111113E-2</v>
      </c>
      <c r="S6" s="5">
        <v>2.361111111111111E-2</v>
      </c>
      <c r="T6" s="5">
        <v>0</v>
      </c>
      <c r="U6" s="5">
        <v>0</v>
      </c>
      <c r="V6" s="5">
        <v>0</v>
      </c>
      <c r="W6" s="5">
        <v>9.0277777777777769E-3</v>
      </c>
      <c r="X6" s="5">
        <v>3.1944444444444442E-2</v>
      </c>
      <c r="Y6" s="5">
        <v>1.7361111111111112E-2</v>
      </c>
      <c r="Z6" s="5">
        <v>0</v>
      </c>
      <c r="AA6" s="5">
        <v>0</v>
      </c>
      <c r="AB6" s="5">
        <v>0</v>
      </c>
      <c r="AC6" s="5">
        <v>0</v>
      </c>
      <c r="AD6" s="5">
        <v>1.4583333333333334E-2</v>
      </c>
      <c r="AE6" s="5">
        <v>1.0416666666666666E-2</v>
      </c>
      <c r="AF6" s="5">
        <v>9.7222222222222224E-3</v>
      </c>
      <c r="AG6" s="5">
        <v>0</v>
      </c>
      <c r="AH6" s="5">
        <v>7.6388888888888886E-3</v>
      </c>
      <c r="AI6" s="2"/>
      <c r="AJ6" s="1">
        <v>1</v>
      </c>
      <c r="AK6" s="1">
        <f t="shared" si="0"/>
        <v>31</v>
      </c>
      <c r="AL6" s="10">
        <v>6.9444444444444441E-3</v>
      </c>
      <c r="AM6" s="1">
        <f t="shared" si="1"/>
        <v>14</v>
      </c>
      <c r="AN6" s="13">
        <f t="shared" si="2"/>
        <v>0.45161290322580644</v>
      </c>
      <c r="AO6" s="14">
        <f t="shared" si="3"/>
        <v>1</v>
      </c>
      <c r="AP6" s="1" t="str">
        <f>VLOOKUP(B6,Hoja3!$A$1:$B$14,2,0)</f>
        <v>CESADO</v>
      </c>
      <c r="AQ6" s="1" t="str">
        <f t="shared" si="6"/>
        <v>YAHAIRA GALINDO</v>
      </c>
      <c r="AR6" s="1">
        <f t="shared" si="4"/>
        <v>13</v>
      </c>
      <c r="AS6" s="1" t="str">
        <f t="shared" si="5"/>
        <v>GALINDO MERA</v>
      </c>
      <c r="AT6" s="1">
        <f t="shared" si="7"/>
        <v>8</v>
      </c>
      <c r="AU6" s="1" t="str">
        <f t="shared" si="8"/>
        <v>YAHAIRA LUZMILA</v>
      </c>
      <c r="AV6" s="1">
        <f t="shared" si="9"/>
        <v>8</v>
      </c>
    </row>
    <row r="7" spans="1:48">
      <c r="A7" s="2" t="s">
        <v>17</v>
      </c>
      <c r="B7" s="2" t="s">
        <v>18</v>
      </c>
      <c r="C7" s="2" t="s">
        <v>19</v>
      </c>
      <c r="D7" s="5">
        <v>1.4583333333333334E-2</v>
      </c>
      <c r="E7" s="5">
        <v>0</v>
      </c>
      <c r="F7" s="5">
        <v>0</v>
      </c>
      <c r="G7" s="5">
        <v>0</v>
      </c>
      <c r="H7" s="5">
        <v>0</v>
      </c>
      <c r="I7" s="2" t="s">
        <v>49</v>
      </c>
      <c r="J7" s="5">
        <v>0</v>
      </c>
      <c r="K7" s="5">
        <v>0</v>
      </c>
      <c r="L7" s="5">
        <v>1.3888888888888889E-3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2.7777777777777779E-3</v>
      </c>
      <c r="S7" s="5">
        <v>2.6388888888888889E-2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2.0833333333333333E-3</v>
      </c>
      <c r="AF7" s="5">
        <v>2.7777777777777779E-3</v>
      </c>
      <c r="AG7" s="5">
        <v>0</v>
      </c>
      <c r="AH7" s="5">
        <v>0</v>
      </c>
      <c r="AI7" s="2"/>
      <c r="AJ7" s="1">
        <v>1</v>
      </c>
      <c r="AK7" s="1">
        <f t="shared" si="0"/>
        <v>31</v>
      </c>
      <c r="AL7" s="10">
        <v>6.9444444444444441E-3</v>
      </c>
      <c r="AM7" s="1">
        <f t="shared" si="1"/>
        <v>2</v>
      </c>
      <c r="AN7" s="13">
        <f t="shared" si="2"/>
        <v>6.4516129032258063E-2</v>
      </c>
      <c r="AO7" s="14">
        <f t="shared" si="3"/>
        <v>1</v>
      </c>
      <c r="AP7" s="1" t="s">
        <v>203</v>
      </c>
      <c r="AQ7" s="1" t="str">
        <f t="shared" si="6"/>
        <v>STEPHEN LLANOS</v>
      </c>
      <c r="AR7" s="1">
        <f t="shared" si="4"/>
        <v>16</v>
      </c>
      <c r="AS7" s="1" t="str">
        <f t="shared" si="5"/>
        <v>LLANOS ANTAURCO</v>
      </c>
      <c r="AT7" s="1">
        <f t="shared" si="7"/>
        <v>7</v>
      </c>
      <c r="AU7" s="1" t="str">
        <f t="shared" si="8"/>
        <v>STEPHEN BORIS</v>
      </c>
      <c r="AV7" s="1">
        <f t="shared" si="9"/>
        <v>8</v>
      </c>
    </row>
    <row r="8" spans="1:48">
      <c r="A8" s="2" t="s">
        <v>20</v>
      </c>
      <c r="B8" s="2" t="s">
        <v>21</v>
      </c>
      <c r="C8" s="2" t="s">
        <v>22</v>
      </c>
      <c r="D8" s="5">
        <v>1.8749999999999999E-2</v>
      </c>
      <c r="E8" s="5">
        <v>1.3888888888888888E-2</v>
      </c>
      <c r="F8" s="5">
        <v>1.0416666666666666E-2</v>
      </c>
      <c r="G8" s="5">
        <v>0</v>
      </c>
      <c r="H8" s="5">
        <v>6.9444444444444441E-3</v>
      </c>
      <c r="I8" s="2" t="s">
        <v>49</v>
      </c>
      <c r="J8" s="5">
        <v>0</v>
      </c>
      <c r="K8" s="5">
        <v>5.5555555555555558E-3</v>
      </c>
      <c r="L8" s="5">
        <v>2.0833333333333333E-3</v>
      </c>
      <c r="M8" s="5">
        <v>8.3333333333333332E-3</v>
      </c>
      <c r="N8" s="5">
        <v>0</v>
      </c>
      <c r="O8" s="5">
        <v>2.0833333333333332E-2</v>
      </c>
      <c r="P8" s="5">
        <v>0</v>
      </c>
      <c r="Q8" s="5">
        <v>2.1527777777777778E-2</v>
      </c>
      <c r="R8" s="5">
        <v>1.1111111111111112E-2</v>
      </c>
      <c r="S8" s="5">
        <v>1.0416666666666666E-2</v>
      </c>
      <c r="T8" s="5">
        <v>0</v>
      </c>
      <c r="U8" s="5">
        <v>0</v>
      </c>
      <c r="V8" s="5">
        <v>0</v>
      </c>
      <c r="W8" s="5">
        <v>2.0833333333333332E-2</v>
      </c>
      <c r="X8" s="5">
        <v>2.2916666666666665E-2</v>
      </c>
      <c r="Y8" s="5">
        <v>1.2500000000000001E-2</v>
      </c>
      <c r="Z8" s="5">
        <v>6.9444444444444441E-3</v>
      </c>
      <c r="AA8" s="5">
        <v>0</v>
      </c>
      <c r="AB8" s="5">
        <v>0</v>
      </c>
      <c r="AC8" s="5">
        <v>1.3888888888888889E-3</v>
      </c>
      <c r="AD8" s="5">
        <v>2.1527777777777778E-2</v>
      </c>
      <c r="AE8" s="5">
        <v>1.7361111111111112E-2</v>
      </c>
      <c r="AF8" s="5">
        <v>3.4722222222222224E-2</v>
      </c>
      <c r="AG8" s="2" t="s">
        <v>147</v>
      </c>
      <c r="AH8" s="5">
        <v>1.2500000000000001E-2</v>
      </c>
      <c r="AI8" s="2"/>
      <c r="AJ8" s="1">
        <v>1</v>
      </c>
      <c r="AK8" s="1">
        <f t="shared" si="0"/>
        <v>31</v>
      </c>
      <c r="AL8" s="10">
        <v>6.9444444444444441E-3</v>
      </c>
      <c r="AM8" s="1">
        <f t="shared" si="1"/>
        <v>15</v>
      </c>
      <c r="AN8" s="13">
        <f t="shared" si="2"/>
        <v>0.4838709677419355</v>
      </c>
      <c r="AO8" s="14">
        <f t="shared" si="3"/>
        <v>1</v>
      </c>
      <c r="AP8" s="1" t="s">
        <v>203</v>
      </c>
      <c r="AQ8" s="1" t="str">
        <f t="shared" si="6"/>
        <v>LUZ CCAMA</v>
      </c>
      <c r="AR8" s="1">
        <f t="shared" si="4"/>
        <v>12</v>
      </c>
      <c r="AS8" s="1" t="str">
        <f t="shared" si="5"/>
        <v>CCAMA ARONI</v>
      </c>
      <c r="AT8" s="1">
        <f t="shared" si="7"/>
        <v>6</v>
      </c>
      <c r="AU8" s="1" t="str">
        <f t="shared" si="8"/>
        <v>LUZ MIRELLA</v>
      </c>
      <c r="AV8" s="1">
        <f t="shared" si="9"/>
        <v>4</v>
      </c>
    </row>
    <row r="9" spans="1:48">
      <c r="A9" s="2" t="s">
        <v>23</v>
      </c>
      <c r="B9" s="2" t="s">
        <v>24</v>
      </c>
      <c r="C9" s="2" t="s">
        <v>25</v>
      </c>
      <c r="D9" s="5">
        <v>3.472222222222222E-3</v>
      </c>
      <c r="E9" s="5">
        <v>1.2500000000000001E-2</v>
      </c>
      <c r="F9" s="5">
        <v>9.7222222222222224E-3</v>
      </c>
      <c r="G9" s="5">
        <v>0</v>
      </c>
      <c r="H9" s="5">
        <v>1.1805555555555555E-2</v>
      </c>
      <c r="I9" s="2" t="s">
        <v>49</v>
      </c>
      <c r="J9" s="5">
        <v>0</v>
      </c>
      <c r="K9" s="5">
        <v>0</v>
      </c>
      <c r="L9" s="5">
        <v>0</v>
      </c>
      <c r="M9" s="5">
        <v>2.2222222222222223E-2</v>
      </c>
      <c r="N9" s="5">
        <v>0</v>
      </c>
      <c r="O9" s="5">
        <v>1.5277777777777777E-2</v>
      </c>
      <c r="P9" s="5">
        <v>1.9444444444444445E-2</v>
      </c>
      <c r="Q9" s="5">
        <v>1.8055555555555554E-2</v>
      </c>
      <c r="R9" s="5">
        <v>2.4305555555555556E-2</v>
      </c>
      <c r="S9" s="5">
        <v>2.2222222222222223E-2</v>
      </c>
      <c r="T9" s="5">
        <v>0</v>
      </c>
      <c r="U9" s="5">
        <v>0</v>
      </c>
      <c r="V9" s="5">
        <v>0</v>
      </c>
      <c r="W9" s="5">
        <v>9.7222222222222224E-3</v>
      </c>
      <c r="X9" s="5">
        <v>2.5000000000000001E-2</v>
      </c>
      <c r="Y9" s="5">
        <v>2.6388888888888889E-2</v>
      </c>
      <c r="Z9" s="5">
        <v>2.2222222222222223E-2</v>
      </c>
      <c r="AA9" s="5">
        <v>0</v>
      </c>
      <c r="AB9" s="5">
        <v>0</v>
      </c>
      <c r="AC9" s="5">
        <v>0</v>
      </c>
      <c r="AD9" s="5">
        <v>1.1805555555555555E-2</v>
      </c>
      <c r="AE9" s="5">
        <v>2.361111111111111E-2</v>
      </c>
      <c r="AF9" s="5">
        <v>1.3194444444444444E-2</v>
      </c>
      <c r="AG9" s="5">
        <v>3.7499999999999999E-2</v>
      </c>
      <c r="AH9" s="5">
        <v>1.1805555555555555E-2</v>
      </c>
      <c r="AI9" s="2"/>
      <c r="AJ9" s="1">
        <v>1</v>
      </c>
      <c r="AK9" s="1">
        <f t="shared" si="0"/>
        <v>31</v>
      </c>
      <c r="AL9" s="10">
        <v>6.9444444444444441E-3</v>
      </c>
      <c r="AM9" s="1">
        <f t="shared" si="1"/>
        <v>18</v>
      </c>
      <c r="AN9" s="13">
        <f t="shared" si="2"/>
        <v>0.58064516129032262</v>
      </c>
      <c r="AO9" s="14">
        <f t="shared" si="3"/>
        <v>1</v>
      </c>
      <c r="AP9" s="1" t="s">
        <v>201</v>
      </c>
      <c r="AQ9" s="1" t="str">
        <f t="shared" si="6"/>
        <v>ANDREA CAYCHO</v>
      </c>
      <c r="AR9" s="1">
        <f t="shared" si="4"/>
        <v>14</v>
      </c>
      <c r="AS9" s="1" t="str">
        <f t="shared" si="5"/>
        <v>CAYCHO HUANCA</v>
      </c>
      <c r="AT9" s="1">
        <f t="shared" si="7"/>
        <v>7</v>
      </c>
      <c r="AU9" s="1" t="str">
        <f t="shared" si="8"/>
        <v>ANDREA ALESSANDRA</v>
      </c>
      <c r="AV9" s="1">
        <f t="shared" si="9"/>
        <v>7</v>
      </c>
    </row>
    <row r="10" spans="1:48">
      <c r="A10" s="2" t="s">
        <v>106</v>
      </c>
      <c r="B10" s="2" t="s">
        <v>107</v>
      </c>
      <c r="C10" s="2" t="s">
        <v>108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2" t="s">
        <v>49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2" t="s">
        <v>139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9.7222222222222224E-3</v>
      </c>
      <c r="AG10" s="5">
        <v>0</v>
      </c>
      <c r="AH10" s="5">
        <v>2.0833333333333332E-2</v>
      </c>
      <c r="AI10" s="2"/>
      <c r="AJ10" s="1">
        <v>1</v>
      </c>
      <c r="AK10" s="1">
        <f t="shared" si="0"/>
        <v>31</v>
      </c>
      <c r="AL10" s="10">
        <v>6.9444444444444441E-3</v>
      </c>
      <c r="AM10" s="1">
        <f t="shared" si="1"/>
        <v>2</v>
      </c>
      <c r="AN10" s="13">
        <f t="shared" si="2"/>
        <v>6.4516129032258063E-2</v>
      </c>
      <c r="AO10" s="14">
        <f t="shared" si="3"/>
        <v>1</v>
      </c>
      <c r="AP10" s="1" t="str">
        <f>VLOOKUP(B10,Hoja3!$A$1:$B$14,2,0)</f>
        <v>CESADO</v>
      </c>
      <c r="AQ10" s="1" t="str">
        <f t="shared" si="6"/>
        <v>ROCIO PAREDES</v>
      </c>
      <c r="AR10" s="1">
        <f t="shared" si="4"/>
        <v>16</v>
      </c>
      <c r="AS10" s="1" t="str">
        <f t="shared" si="5"/>
        <v>PAREDES GUILLEN</v>
      </c>
      <c r="AT10" s="1">
        <f t="shared" si="7"/>
        <v>8</v>
      </c>
      <c r="AU10" s="1" t="str">
        <f t="shared" si="8"/>
        <v>ROCIO NOEMI</v>
      </c>
      <c r="AV10" s="1">
        <f t="shared" si="9"/>
        <v>6</v>
      </c>
    </row>
    <row r="11" spans="1:48">
      <c r="A11" s="2" t="s">
        <v>148</v>
      </c>
      <c r="B11" s="2" t="s">
        <v>149</v>
      </c>
      <c r="C11" s="2" t="s">
        <v>150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2" t="s">
        <v>49</v>
      </c>
      <c r="J11" s="5">
        <v>0</v>
      </c>
      <c r="K11" s="5">
        <v>0</v>
      </c>
      <c r="L11" s="5">
        <v>0</v>
      </c>
      <c r="M11" s="5">
        <v>1.3888888888888889E-3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2"/>
      <c r="AJ11" s="1">
        <v>1</v>
      </c>
      <c r="AK11" s="1">
        <f t="shared" si="0"/>
        <v>31</v>
      </c>
      <c r="AL11" s="10">
        <v>6.9444444444444441E-3</v>
      </c>
      <c r="AM11" s="1">
        <f t="shared" si="1"/>
        <v>0</v>
      </c>
      <c r="AN11" s="13">
        <f t="shared" si="2"/>
        <v>0</v>
      </c>
      <c r="AO11" s="14">
        <f t="shared" si="3"/>
        <v>1</v>
      </c>
      <c r="AP11" s="1" t="str">
        <f>VLOOKUP(B11,Hoja3!$A$1:$B$14,2,0)</f>
        <v>CESADO</v>
      </c>
      <c r="AQ11" s="1" t="str">
        <f>CONCATENATE(AU11," ",(MID(AS11,1,AT11-1)))</f>
        <v>ROGELIO GUEVARA</v>
      </c>
      <c r="AR11" s="1">
        <f t="shared" si="4"/>
        <v>17</v>
      </c>
      <c r="AS11" s="1" t="str">
        <f t="shared" si="5"/>
        <v>GUEVARA ENRIQUEZ</v>
      </c>
      <c r="AT11" s="1">
        <f t="shared" si="7"/>
        <v>8</v>
      </c>
      <c r="AU11" s="1" t="str">
        <f t="shared" si="8"/>
        <v>ROGELIO</v>
      </c>
      <c r="AV11" s="1" t="e">
        <f t="shared" si="9"/>
        <v>#VALUE!</v>
      </c>
    </row>
    <row r="12" spans="1:48">
      <c r="A12" s="2" t="s">
        <v>151</v>
      </c>
      <c r="B12" s="2" t="s">
        <v>152</v>
      </c>
      <c r="C12" s="2" t="s">
        <v>153</v>
      </c>
      <c r="D12" s="5">
        <v>1.2500000000000001E-2</v>
      </c>
      <c r="E12" s="2" t="s">
        <v>104</v>
      </c>
      <c r="F12" s="5">
        <v>1.5277777777777777E-2</v>
      </c>
      <c r="G12" s="5">
        <v>0</v>
      </c>
      <c r="H12" s="5">
        <v>0</v>
      </c>
      <c r="I12" s="2" t="s">
        <v>49</v>
      </c>
      <c r="J12" s="5">
        <v>0</v>
      </c>
      <c r="K12" s="5">
        <v>2.7083333333333334E-2</v>
      </c>
      <c r="L12" s="5">
        <v>0</v>
      </c>
      <c r="M12" s="5">
        <v>5.5555555555555558E-3</v>
      </c>
      <c r="N12" s="5">
        <v>0</v>
      </c>
      <c r="O12" s="5">
        <v>1.6666666666666666E-2</v>
      </c>
      <c r="P12" s="5">
        <v>6.9444444444444441E-3</v>
      </c>
      <c r="Q12" s="5">
        <v>1.7361111111111112E-2</v>
      </c>
      <c r="R12" s="5">
        <v>3.3333333333333333E-2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1.7361111111111112E-2</v>
      </c>
      <c r="Y12" s="5">
        <v>2.0833333333333332E-2</v>
      </c>
      <c r="Z12" s="5">
        <v>1.3194444444444444E-2</v>
      </c>
      <c r="AA12" s="2" t="s">
        <v>49</v>
      </c>
      <c r="AB12" s="5">
        <v>0</v>
      </c>
      <c r="AC12" s="5">
        <v>2.9861111111111113E-2</v>
      </c>
      <c r="AD12" s="5">
        <v>3.2638888888888891E-2</v>
      </c>
      <c r="AE12" s="5">
        <v>0</v>
      </c>
      <c r="AF12" s="5">
        <v>0</v>
      </c>
      <c r="AG12" s="5">
        <v>1.1111111111111112E-2</v>
      </c>
      <c r="AH12" s="5">
        <v>4.8611111111111112E-3</v>
      </c>
      <c r="AI12" s="2"/>
      <c r="AJ12" s="1">
        <v>1</v>
      </c>
      <c r="AK12" s="1">
        <f t="shared" si="0"/>
        <v>31</v>
      </c>
      <c r="AL12" s="10">
        <v>6.9444444444444441E-3</v>
      </c>
      <c r="AM12" s="1">
        <f t="shared" si="1"/>
        <v>12</v>
      </c>
      <c r="AN12" s="13">
        <f t="shared" si="2"/>
        <v>0.38709677419354838</v>
      </c>
      <c r="AO12" s="14">
        <f t="shared" si="3"/>
        <v>2</v>
      </c>
      <c r="AP12" s="1" t="str">
        <f>VLOOKUP(B12,Hoja3!$A$1:$B$14,2,0)</f>
        <v>CESADO</v>
      </c>
      <c r="AQ12" s="1" t="str">
        <f t="shared" si="6"/>
        <v>SILVIA ASIAN</v>
      </c>
      <c r="AR12" s="1">
        <f t="shared" si="4"/>
        <v>14</v>
      </c>
      <c r="AS12" s="1" t="str">
        <f t="shared" si="5"/>
        <v>ASIAN RAMIREZ</v>
      </c>
      <c r="AT12" s="1">
        <f t="shared" si="7"/>
        <v>6</v>
      </c>
      <c r="AU12" s="1" t="str">
        <f t="shared" si="8"/>
        <v>SILVIA LARITZA</v>
      </c>
      <c r="AV12" s="1">
        <f t="shared" si="9"/>
        <v>7</v>
      </c>
    </row>
    <row r="13" spans="1:48">
      <c r="A13" s="2" t="s">
        <v>26</v>
      </c>
      <c r="B13" s="2" t="s">
        <v>27</v>
      </c>
      <c r="C13" s="2" t="s">
        <v>28</v>
      </c>
      <c r="D13" s="5">
        <v>1.5972222222222221E-2</v>
      </c>
      <c r="E13" s="5">
        <v>2.0833333333333332E-2</v>
      </c>
      <c r="F13" s="2" t="s">
        <v>51</v>
      </c>
      <c r="G13" s="5">
        <v>0</v>
      </c>
      <c r="H13" s="5">
        <v>2.9166666666666667E-2</v>
      </c>
      <c r="I13" s="2" t="s">
        <v>49</v>
      </c>
      <c r="J13" s="5">
        <v>0</v>
      </c>
      <c r="K13" s="5">
        <v>2.361111111111111E-2</v>
      </c>
      <c r="L13" s="5">
        <v>1.0416666666666666E-2</v>
      </c>
      <c r="M13" s="5">
        <v>1.1111111111111112E-2</v>
      </c>
      <c r="N13" s="5">
        <v>0</v>
      </c>
      <c r="O13" s="5">
        <v>2.5694444444444443E-2</v>
      </c>
      <c r="P13" s="5">
        <v>3.0555555555555555E-2</v>
      </c>
      <c r="Q13" s="5">
        <v>1.3888888888888888E-2</v>
      </c>
      <c r="R13" s="5">
        <v>3.125E-2</v>
      </c>
      <c r="S13" s="5">
        <v>1.7361111111111112E-2</v>
      </c>
      <c r="T13" s="5">
        <v>0</v>
      </c>
      <c r="U13" s="5">
        <v>0</v>
      </c>
      <c r="V13" s="5">
        <v>0</v>
      </c>
      <c r="W13" s="5">
        <v>2.0833333333333332E-2</v>
      </c>
      <c r="X13" s="5">
        <v>1.4583333333333334E-2</v>
      </c>
      <c r="Y13" s="5">
        <v>1.8055555555555554E-2</v>
      </c>
      <c r="Z13" s="5">
        <v>0</v>
      </c>
      <c r="AA13" s="5">
        <v>0</v>
      </c>
      <c r="AB13" s="5">
        <v>0</v>
      </c>
      <c r="AC13" s="5">
        <v>0</v>
      </c>
      <c r="AD13" s="5">
        <v>6.9444444444444441E-3</v>
      </c>
      <c r="AE13" s="5">
        <v>3.0555555555555555E-2</v>
      </c>
      <c r="AF13" s="5">
        <v>2.7777777777777776E-2</v>
      </c>
      <c r="AG13" s="5">
        <v>2.7777777777777776E-2</v>
      </c>
      <c r="AH13" s="5">
        <v>1.2500000000000001E-2</v>
      </c>
      <c r="AI13" s="2"/>
      <c r="AJ13" s="1">
        <v>1</v>
      </c>
      <c r="AK13" s="1">
        <f t="shared" si="0"/>
        <v>31</v>
      </c>
      <c r="AL13" s="10">
        <v>6.9444444444444441E-3</v>
      </c>
      <c r="AM13" s="1">
        <f t="shared" si="1"/>
        <v>18</v>
      </c>
      <c r="AN13" s="13">
        <f t="shared" si="2"/>
        <v>0.58064516129032262</v>
      </c>
      <c r="AO13" s="14">
        <f t="shared" si="3"/>
        <v>1</v>
      </c>
      <c r="AP13" s="1" t="s">
        <v>201</v>
      </c>
      <c r="AQ13" s="1" t="str">
        <f t="shared" si="6"/>
        <v>ANGELICA PRETELL</v>
      </c>
      <c r="AR13" s="1">
        <f t="shared" si="4"/>
        <v>16</v>
      </c>
      <c r="AS13" s="1" t="str">
        <f t="shared" si="5"/>
        <v>PRETELL PINTADO</v>
      </c>
      <c r="AT13" s="1">
        <f t="shared" si="7"/>
        <v>8</v>
      </c>
      <c r="AU13" s="1" t="str">
        <f t="shared" si="8"/>
        <v>ANGELICA DIANA</v>
      </c>
      <c r="AV13" s="1">
        <f t="shared" si="9"/>
        <v>9</v>
      </c>
    </row>
    <row r="14" spans="1:48">
      <c r="A14" s="2" t="s">
        <v>154</v>
      </c>
      <c r="B14" s="2" t="s">
        <v>155</v>
      </c>
      <c r="C14" s="2" t="s">
        <v>156</v>
      </c>
      <c r="D14" s="2" t="s">
        <v>49</v>
      </c>
      <c r="E14" s="5">
        <v>0</v>
      </c>
      <c r="F14" s="5">
        <v>1.5277777777777777E-2</v>
      </c>
      <c r="G14" s="5">
        <v>0</v>
      </c>
      <c r="H14" s="5">
        <v>0</v>
      </c>
      <c r="I14" s="2" t="s">
        <v>49</v>
      </c>
      <c r="J14" s="5">
        <v>0</v>
      </c>
      <c r="K14" s="5">
        <v>0</v>
      </c>
      <c r="L14" s="5">
        <v>0</v>
      </c>
      <c r="M14" s="5">
        <v>1.0416666666666666E-2</v>
      </c>
      <c r="N14" s="5">
        <v>0</v>
      </c>
      <c r="O14" s="5">
        <v>0</v>
      </c>
      <c r="P14" s="5">
        <v>1.4583333333333334E-2</v>
      </c>
      <c r="Q14" s="5">
        <v>0</v>
      </c>
      <c r="R14" s="5">
        <v>1.3888888888888888E-2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2.013888888888889E-2</v>
      </c>
      <c r="Y14" s="5">
        <v>0</v>
      </c>
      <c r="Z14" s="5">
        <v>1.3194444444444444E-2</v>
      </c>
      <c r="AA14" s="5">
        <v>0</v>
      </c>
      <c r="AB14" s="5">
        <v>0</v>
      </c>
      <c r="AC14" s="2" t="s">
        <v>49</v>
      </c>
      <c r="AD14" s="2" t="s">
        <v>49</v>
      </c>
      <c r="AE14" s="2" t="s">
        <v>49</v>
      </c>
      <c r="AF14" s="2" t="s">
        <v>49</v>
      </c>
      <c r="AG14" s="5">
        <v>3.9583333333333331E-2</v>
      </c>
      <c r="AH14" s="2" t="s">
        <v>115</v>
      </c>
      <c r="AI14" s="2"/>
      <c r="AJ14" s="1">
        <v>1</v>
      </c>
      <c r="AK14" s="1">
        <f t="shared" si="0"/>
        <v>31</v>
      </c>
      <c r="AL14" s="10">
        <v>6.9444444444444441E-3</v>
      </c>
      <c r="AM14" s="1">
        <f t="shared" si="1"/>
        <v>7</v>
      </c>
      <c r="AN14" s="13">
        <f t="shared" si="2"/>
        <v>0.22580645161290322</v>
      </c>
      <c r="AO14" s="14">
        <f t="shared" si="3"/>
        <v>6</v>
      </c>
      <c r="AP14" s="1" t="str">
        <f>VLOOKUP(B14,Hoja3!$A$1:$B$14,2,0)</f>
        <v>CESADO</v>
      </c>
      <c r="AQ14" s="1" t="str">
        <f t="shared" si="6"/>
        <v>SAMANTHA TENORIO</v>
      </c>
      <c r="AR14" s="1">
        <f t="shared" si="4"/>
        <v>14</v>
      </c>
      <c r="AS14" s="1" t="str">
        <f t="shared" si="5"/>
        <v>TENORIO FELIX</v>
      </c>
      <c r="AT14" s="1">
        <f t="shared" si="7"/>
        <v>8</v>
      </c>
      <c r="AU14" s="1" t="str">
        <f t="shared" si="8"/>
        <v>SAMANTHA NICOLLE</v>
      </c>
      <c r="AV14" s="1">
        <f t="shared" si="9"/>
        <v>9</v>
      </c>
    </row>
    <row r="15" spans="1:48">
      <c r="A15" s="2" t="s">
        <v>29</v>
      </c>
      <c r="B15" s="2" t="s">
        <v>30</v>
      </c>
      <c r="C15" s="2" t="s">
        <v>31</v>
      </c>
      <c r="D15" s="5">
        <v>4.1666666666666666E-3</v>
      </c>
      <c r="E15" s="5">
        <v>3.472222222222222E-3</v>
      </c>
      <c r="F15" s="5">
        <v>0</v>
      </c>
      <c r="G15" s="5">
        <v>0</v>
      </c>
      <c r="H15" s="5">
        <v>6.2500000000000003E-3</v>
      </c>
      <c r="I15" s="2" t="s">
        <v>49</v>
      </c>
      <c r="J15" s="5">
        <v>0</v>
      </c>
      <c r="K15" s="2" t="s">
        <v>49</v>
      </c>
      <c r="L15" s="5">
        <v>0</v>
      </c>
      <c r="M15" s="5">
        <v>1.0416666666666666E-2</v>
      </c>
      <c r="N15" s="5">
        <v>0</v>
      </c>
      <c r="O15" s="5">
        <v>6.9444444444444447E-4</v>
      </c>
      <c r="P15" s="5">
        <v>0</v>
      </c>
      <c r="Q15" s="5">
        <v>0</v>
      </c>
      <c r="R15" s="5">
        <v>2.9861111111111113E-2</v>
      </c>
      <c r="S15" s="5">
        <v>0</v>
      </c>
      <c r="T15" s="5">
        <v>0</v>
      </c>
      <c r="U15" s="5">
        <v>0</v>
      </c>
      <c r="V15" s="5">
        <v>0</v>
      </c>
      <c r="W15" s="5">
        <v>1.1111111111111112E-2</v>
      </c>
      <c r="X15" s="5">
        <v>6.9444444444444447E-4</v>
      </c>
      <c r="Y15" s="5">
        <v>8.3333333333333332E-3</v>
      </c>
      <c r="Z15" s="5">
        <v>6.9444444444444441E-3</v>
      </c>
      <c r="AA15" s="5">
        <v>0</v>
      </c>
      <c r="AB15" s="5">
        <v>0</v>
      </c>
      <c r="AC15" s="5">
        <v>0</v>
      </c>
      <c r="AD15" s="5">
        <v>0</v>
      </c>
      <c r="AE15" s="5">
        <v>5.5555555555555558E-3</v>
      </c>
      <c r="AF15" s="5">
        <v>0</v>
      </c>
      <c r="AG15" s="5">
        <v>2.7777777777777779E-3</v>
      </c>
      <c r="AH15" s="5">
        <v>1.5277777777777777E-2</v>
      </c>
      <c r="AI15" s="2"/>
      <c r="AJ15" s="1">
        <v>1</v>
      </c>
      <c r="AK15" s="1">
        <f t="shared" si="0"/>
        <v>31</v>
      </c>
      <c r="AL15" s="10">
        <v>6.9444444444444441E-3</v>
      </c>
      <c r="AM15" s="1">
        <f t="shared" si="1"/>
        <v>5</v>
      </c>
      <c r="AN15" s="13">
        <f t="shared" si="2"/>
        <v>0.16129032258064516</v>
      </c>
      <c r="AO15" s="14">
        <f t="shared" si="3"/>
        <v>2</v>
      </c>
      <c r="AP15" s="1" t="s">
        <v>203</v>
      </c>
      <c r="AQ15" s="1" t="str">
        <f t="shared" si="6"/>
        <v>CARLOS LOPEZ</v>
      </c>
      <c r="AR15" s="1">
        <f t="shared" si="4"/>
        <v>13</v>
      </c>
      <c r="AS15" s="1" t="str">
        <f t="shared" si="5"/>
        <v>LOPEZ FARIAS</v>
      </c>
      <c r="AT15" s="1">
        <f t="shared" si="7"/>
        <v>6</v>
      </c>
      <c r="AU15" s="1" t="str">
        <f t="shared" si="8"/>
        <v>CARLOS JOAQUIN</v>
      </c>
      <c r="AV15" s="1">
        <f t="shared" si="9"/>
        <v>7</v>
      </c>
    </row>
    <row r="16" spans="1:48">
      <c r="A16" s="2" t="s">
        <v>130</v>
      </c>
      <c r="B16" s="2" t="s">
        <v>131</v>
      </c>
      <c r="C16" s="2" t="s">
        <v>132</v>
      </c>
      <c r="D16" s="5">
        <v>4.8611111111111112E-3</v>
      </c>
      <c r="E16" s="5">
        <v>0</v>
      </c>
      <c r="F16" s="5">
        <v>0</v>
      </c>
      <c r="G16" s="5">
        <v>0</v>
      </c>
      <c r="H16" s="5">
        <v>2.0833333333333333E-3</v>
      </c>
      <c r="I16" s="2" t="s">
        <v>49</v>
      </c>
      <c r="J16" s="5">
        <v>0</v>
      </c>
      <c r="K16" s="5">
        <v>2.7777777777777779E-3</v>
      </c>
      <c r="L16" s="5">
        <v>8.3333333333333332E-3</v>
      </c>
      <c r="M16" s="5">
        <v>0</v>
      </c>
      <c r="N16" s="5">
        <v>0</v>
      </c>
      <c r="O16" s="2" t="s">
        <v>157</v>
      </c>
      <c r="P16" s="5">
        <v>2.9166666666666667E-2</v>
      </c>
      <c r="Q16" s="5">
        <v>0</v>
      </c>
      <c r="R16" s="5">
        <v>2.4305555555555556E-2</v>
      </c>
      <c r="S16" s="5">
        <v>9.0277777777777769E-3</v>
      </c>
      <c r="T16" s="5">
        <v>0</v>
      </c>
      <c r="U16" s="5">
        <v>0</v>
      </c>
      <c r="V16" s="5">
        <v>0</v>
      </c>
      <c r="W16" s="5">
        <v>1.4583333333333334E-2</v>
      </c>
      <c r="X16" s="5">
        <v>1.2500000000000001E-2</v>
      </c>
      <c r="Y16" s="5">
        <v>1.5972222222222221E-2</v>
      </c>
      <c r="Z16" s="5">
        <v>5.5555555555555558E-3</v>
      </c>
      <c r="AA16" s="5">
        <v>0</v>
      </c>
      <c r="AB16" s="5">
        <v>0</v>
      </c>
      <c r="AC16" s="5">
        <v>0</v>
      </c>
      <c r="AD16" s="5">
        <v>2.7777777777777779E-3</v>
      </c>
      <c r="AE16" s="5">
        <v>0</v>
      </c>
      <c r="AF16" s="5">
        <v>1.4583333333333334E-2</v>
      </c>
      <c r="AG16" s="5">
        <v>3.888888888888889E-2</v>
      </c>
      <c r="AH16" s="5">
        <v>2.361111111111111E-2</v>
      </c>
      <c r="AI16" s="2"/>
      <c r="AJ16" s="1">
        <v>1</v>
      </c>
      <c r="AK16" s="1">
        <f t="shared" si="0"/>
        <v>31</v>
      </c>
      <c r="AL16" s="10">
        <v>6.9444444444444441E-3</v>
      </c>
      <c r="AM16" s="1">
        <f t="shared" si="1"/>
        <v>10</v>
      </c>
      <c r="AN16" s="13">
        <f t="shared" si="2"/>
        <v>0.32258064516129031</v>
      </c>
      <c r="AO16" s="14">
        <f t="shared" si="3"/>
        <v>1</v>
      </c>
      <c r="AP16" s="1" t="str">
        <f>VLOOKUP(B16,Hoja3!$A$1:$B$14,2,0)</f>
        <v>CESADO</v>
      </c>
      <c r="AQ16" s="1" t="str">
        <f t="shared" si="6"/>
        <v>JEFFERSON LOPEZ</v>
      </c>
      <c r="AR16" s="1">
        <f t="shared" si="4"/>
        <v>11</v>
      </c>
      <c r="AS16" s="1" t="str">
        <f t="shared" si="5"/>
        <v>LOPEZ CRUZ</v>
      </c>
      <c r="AT16" s="1">
        <f t="shared" si="7"/>
        <v>6</v>
      </c>
      <c r="AU16" s="1" t="str">
        <f t="shared" si="8"/>
        <v>JEFFERSON NORMAN</v>
      </c>
      <c r="AV16" s="1">
        <f t="shared" si="9"/>
        <v>10</v>
      </c>
    </row>
    <row r="17" spans="1:48">
      <c r="A17" s="2" t="s">
        <v>32</v>
      </c>
      <c r="B17" s="2" t="s">
        <v>33</v>
      </c>
      <c r="C17" s="2" t="s">
        <v>34</v>
      </c>
      <c r="D17" s="5">
        <v>9.0277777777777769E-3</v>
      </c>
      <c r="E17" s="5">
        <v>0</v>
      </c>
      <c r="F17" s="5">
        <v>0</v>
      </c>
      <c r="G17" s="5">
        <v>0</v>
      </c>
      <c r="H17" s="5">
        <v>5.5555555555555558E-3</v>
      </c>
      <c r="I17" s="2" t="s">
        <v>158</v>
      </c>
      <c r="J17" s="5">
        <v>0</v>
      </c>
      <c r="K17" s="5">
        <v>0</v>
      </c>
      <c r="L17" s="5">
        <v>0</v>
      </c>
      <c r="M17" s="2" t="s">
        <v>126</v>
      </c>
      <c r="N17" s="5">
        <v>0</v>
      </c>
      <c r="O17" s="5">
        <v>2.7777777777777779E-3</v>
      </c>
      <c r="P17" s="5">
        <v>3.3333333333333333E-2</v>
      </c>
      <c r="Q17" s="5">
        <v>0</v>
      </c>
      <c r="R17" s="5">
        <v>8.3333333333333332E-3</v>
      </c>
      <c r="S17" s="5">
        <v>5.5555555555555558E-3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2.7777777777777779E-3</v>
      </c>
      <c r="AB17" s="5">
        <v>0</v>
      </c>
      <c r="AC17" s="5">
        <v>0</v>
      </c>
      <c r="AD17" s="2" t="s">
        <v>159</v>
      </c>
      <c r="AE17" s="5">
        <v>0</v>
      </c>
      <c r="AF17" s="5">
        <v>0</v>
      </c>
      <c r="AG17" s="5">
        <v>0</v>
      </c>
      <c r="AH17" s="5">
        <v>0</v>
      </c>
      <c r="AI17" s="2"/>
      <c r="AJ17" s="1">
        <v>1</v>
      </c>
      <c r="AK17" s="1">
        <f t="shared" si="0"/>
        <v>31</v>
      </c>
      <c r="AL17" s="10">
        <v>6.9444444444444441E-3</v>
      </c>
      <c r="AM17" s="1">
        <f t="shared" si="1"/>
        <v>3</v>
      </c>
      <c r="AN17" s="13">
        <f t="shared" si="2"/>
        <v>9.6774193548387094E-2</v>
      </c>
      <c r="AO17" s="14">
        <f t="shared" si="3"/>
        <v>0</v>
      </c>
      <c r="AP17" s="1" t="s">
        <v>203</v>
      </c>
      <c r="AQ17" s="1" t="str">
        <f t="shared" si="6"/>
        <v>RONY CRUZ</v>
      </c>
      <c r="AR17" s="1">
        <f t="shared" si="4"/>
        <v>11</v>
      </c>
      <c r="AS17" s="1" t="str">
        <f t="shared" si="5"/>
        <v>CRUZ TAIPE</v>
      </c>
      <c r="AT17" s="1">
        <f t="shared" si="7"/>
        <v>5</v>
      </c>
      <c r="AU17" s="1" t="str">
        <f t="shared" si="8"/>
        <v>RONY WALDIR</v>
      </c>
      <c r="AV17" s="1">
        <f t="shared" si="9"/>
        <v>5</v>
      </c>
    </row>
    <row r="18" spans="1:48">
      <c r="A18" s="2" t="s">
        <v>36</v>
      </c>
      <c r="B18" s="2" t="s">
        <v>37</v>
      </c>
      <c r="C18" s="2" t="s">
        <v>38</v>
      </c>
      <c r="D18" s="5">
        <v>4.1666666666666666E-3</v>
      </c>
      <c r="E18" s="5">
        <v>1.1111111111111112E-2</v>
      </c>
      <c r="F18" s="5">
        <v>9.0277777777777769E-3</v>
      </c>
      <c r="G18" s="5">
        <v>0</v>
      </c>
      <c r="H18" s="5">
        <v>0</v>
      </c>
      <c r="I18" s="2" t="s">
        <v>49</v>
      </c>
      <c r="J18" s="5">
        <v>0</v>
      </c>
      <c r="K18" s="2" t="s">
        <v>49</v>
      </c>
      <c r="L18" s="5">
        <v>0</v>
      </c>
      <c r="M18" s="5">
        <v>0</v>
      </c>
      <c r="N18" s="5">
        <v>0</v>
      </c>
      <c r="O18" s="5">
        <v>3.7499999999999999E-2</v>
      </c>
      <c r="P18" s="5">
        <v>0</v>
      </c>
      <c r="Q18" s="5">
        <v>0</v>
      </c>
      <c r="R18" s="5">
        <v>2.0833333333333333E-3</v>
      </c>
      <c r="S18" s="5">
        <v>1.9444444444444445E-2</v>
      </c>
      <c r="T18" s="5">
        <v>0</v>
      </c>
      <c r="U18" s="5">
        <v>0</v>
      </c>
      <c r="V18" s="5">
        <v>0</v>
      </c>
      <c r="W18" s="5">
        <v>7.6388888888888886E-3</v>
      </c>
      <c r="X18" s="5">
        <v>1.0416666666666666E-2</v>
      </c>
      <c r="Y18" s="5">
        <v>1.4583333333333334E-2</v>
      </c>
      <c r="Z18" s="5">
        <v>1.0416666666666666E-2</v>
      </c>
      <c r="AA18" s="5">
        <v>0</v>
      </c>
      <c r="AB18" s="5">
        <v>0</v>
      </c>
      <c r="AC18" s="5">
        <v>0</v>
      </c>
      <c r="AD18" s="5">
        <v>9.0277777777777769E-3</v>
      </c>
      <c r="AE18" s="5">
        <v>0</v>
      </c>
      <c r="AF18" s="5">
        <v>0</v>
      </c>
      <c r="AG18" s="5">
        <v>1.7361111111111112E-2</v>
      </c>
      <c r="AH18" s="5">
        <v>4.1666666666666666E-3</v>
      </c>
      <c r="AI18" s="2"/>
      <c r="AJ18" s="1">
        <v>1</v>
      </c>
      <c r="AK18" s="1">
        <f t="shared" si="0"/>
        <v>31</v>
      </c>
      <c r="AL18" s="10">
        <v>6.9444444444444441E-3</v>
      </c>
      <c r="AM18" s="1">
        <f t="shared" si="1"/>
        <v>10</v>
      </c>
      <c r="AN18" s="13">
        <f t="shared" si="2"/>
        <v>0.32258064516129031</v>
      </c>
      <c r="AO18" s="14">
        <f t="shared" si="3"/>
        <v>2</v>
      </c>
      <c r="AP18" s="1" t="s">
        <v>201</v>
      </c>
      <c r="AQ18" s="1" t="str">
        <f t="shared" si="6"/>
        <v>MARQUIÑO ANDRADE</v>
      </c>
      <c r="AR18" s="1">
        <f t="shared" si="4"/>
        <v>13</v>
      </c>
      <c r="AS18" s="1" t="str">
        <f t="shared" si="5"/>
        <v>ANDRADE MERA</v>
      </c>
      <c r="AT18" s="1">
        <f t="shared" si="7"/>
        <v>8</v>
      </c>
      <c r="AU18" s="1" t="str">
        <f t="shared" si="8"/>
        <v>MARQUIÑO ANTONY</v>
      </c>
      <c r="AV18" s="1">
        <f t="shared" si="9"/>
        <v>9</v>
      </c>
    </row>
    <row r="19" spans="1:48">
      <c r="A19" s="2" t="s">
        <v>160</v>
      </c>
      <c r="B19" s="2" t="s">
        <v>161</v>
      </c>
      <c r="C19" s="2" t="s">
        <v>162</v>
      </c>
      <c r="D19" s="5">
        <v>1.1111111111111112E-2</v>
      </c>
      <c r="E19" s="2" t="s">
        <v>53</v>
      </c>
      <c r="F19" s="5">
        <v>5.5555555555555558E-3</v>
      </c>
      <c r="G19" s="5">
        <v>0</v>
      </c>
      <c r="H19" s="5">
        <v>1.7361111111111112E-2</v>
      </c>
      <c r="I19" s="2" t="s">
        <v>49</v>
      </c>
      <c r="J19" s="5">
        <v>0</v>
      </c>
      <c r="K19" s="5">
        <v>3.1944444444444442E-2</v>
      </c>
      <c r="L19" s="2" t="s">
        <v>49</v>
      </c>
      <c r="M19" s="5">
        <v>3.9583333333333331E-2</v>
      </c>
      <c r="N19" s="5">
        <v>0</v>
      </c>
      <c r="O19" s="5">
        <v>0</v>
      </c>
      <c r="P19" s="2" t="s">
        <v>105</v>
      </c>
      <c r="Q19" s="5">
        <v>3.6111111111111108E-2</v>
      </c>
      <c r="R19" s="5">
        <v>0</v>
      </c>
      <c r="S19" s="5">
        <v>2.013888888888889E-2</v>
      </c>
      <c r="T19" s="5">
        <v>0</v>
      </c>
      <c r="U19" s="5">
        <v>0</v>
      </c>
      <c r="V19" s="5">
        <v>0</v>
      </c>
      <c r="W19" s="5">
        <v>2.9166666666666667E-2</v>
      </c>
      <c r="X19" s="5">
        <v>3.472222222222222E-3</v>
      </c>
      <c r="Y19" s="5">
        <v>0</v>
      </c>
      <c r="Z19" s="5">
        <v>2.013888888888889E-2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2"/>
      <c r="AJ19" s="1">
        <v>1</v>
      </c>
      <c r="AK19" s="1">
        <f t="shared" si="0"/>
        <v>31</v>
      </c>
      <c r="AL19" s="10">
        <v>6.9444444444444441E-3</v>
      </c>
      <c r="AM19" s="1">
        <f t="shared" si="1"/>
        <v>8</v>
      </c>
      <c r="AN19" s="13">
        <f t="shared" si="2"/>
        <v>0.25806451612903225</v>
      </c>
      <c r="AO19" s="14">
        <f t="shared" si="3"/>
        <v>2</v>
      </c>
      <c r="AP19" s="1" t="str">
        <f>VLOOKUP(B19,Hoja3!$A$1:$B$14,2,0)</f>
        <v>CESADO</v>
      </c>
      <c r="AQ19" s="1" t="str">
        <f t="shared" si="6"/>
        <v>JEAN FELIX</v>
      </c>
      <c r="AR19" s="1">
        <f t="shared" si="4"/>
        <v>13</v>
      </c>
      <c r="AS19" s="1" t="str">
        <f t="shared" si="5"/>
        <v>FELIX GARCIA</v>
      </c>
      <c r="AT19" s="1">
        <f t="shared" si="7"/>
        <v>6</v>
      </c>
      <c r="AU19" s="1" t="str">
        <f t="shared" si="8"/>
        <v>JEAN PIERRE</v>
      </c>
      <c r="AV19" s="1">
        <f t="shared" si="9"/>
        <v>5</v>
      </c>
    </row>
    <row r="20" spans="1:48">
      <c r="A20" s="2" t="s">
        <v>134</v>
      </c>
      <c r="B20" s="2" t="s">
        <v>135</v>
      </c>
      <c r="C20" s="2" t="s">
        <v>136</v>
      </c>
      <c r="D20" s="5">
        <v>3.5416666666666666E-2</v>
      </c>
      <c r="E20" s="2" t="s">
        <v>57</v>
      </c>
      <c r="F20" s="5">
        <v>0</v>
      </c>
      <c r="G20" s="5">
        <v>0</v>
      </c>
      <c r="H20" s="5">
        <v>5.5555555555555558E-3</v>
      </c>
      <c r="I20" s="2" t="s">
        <v>49</v>
      </c>
      <c r="J20" s="5">
        <v>0</v>
      </c>
      <c r="K20" s="5">
        <v>3.4027777777777775E-2</v>
      </c>
      <c r="L20" s="2" t="s">
        <v>126</v>
      </c>
      <c r="M20" s="5">
        <v>4.1666666666666666E-3</v>
      </c>
      <c r="N20" s="5">
        <v>0</v>
      </c>
      <c r="O20" s="5">
        <v>1.5277777777777777E-2</v>
      </c>
      <c r="P20" s="5">
        <v>2.2222222222222223E-2</v>
      </c>
      <c r="Q20" s="5">
        <v>1.3194444444444444E-2</v>
      </c>
      <c r="R20" s="5">
        <v>3.2638888888888891E-2</v>
      </c>
      <c r="S20" s="5">
        <v>2.2916666666666665E-2</v>
      </c>
      <c r="T20" s="5">
        <v>0</v>
      </c>
      <c r="U20" s="5">
        <v>0</v>
      </c>
      <c r="V20" s="5">
        <v>0</v>
      </c>
      <c r="W20" s="5">
        <v>4.8611111111111112E-3</v>
      </c>
      <c r="X20" s="5">
        <v>2.2916666666666665E-2</v>
      </c>
      <c r="Y20" s="5">
        <v>2.8472222222222222E-2</v>
      </c>
      <c r="Z20" s="5">
        <v>0</v>
      </c>
      <c r="AA20" s="5">
        <v>0</v>
      </c>
      <c r="AB20" s="5">
        <v>0</v>
      </c>
      <c r="AC20" s="2" t="s">
        <v>49</v>
      </c>
      <c r="AD20" s="5">
        <v>2.7777777777777776E-2</v>
      </c>
      <c r="AE20" s="5">
        <v>8.3333333333333332E-3</v>
      </c>
      <c r="AF20" s="5">
        <v>3.1944444444444442E-2</v>
      </c>
      <c r="AG20" s="5">
        <v>0</v>
      </c>
      <c r="AH20" s="5">
        <v>1.0416666666666666E-2</v>
      </c>
      <c r="AI20" s="2"/>
      <c r="AJ20" s="1">
        <v>1</v>
      </c>
      <c r="AK20" s="1">
        <f t="shared" si="0"/>
        <v>31</v>
      </c>
      <c r="AL20" s="10">
        <v>6.9444444444444441E-3</v>
      </c>
      <c r="AM20" s="1">
        <f t="shared" si="1"/>
        <v>13</v>
      </c>
      <c r="AN20" s="13">
        <f t="shared" si="2"/>
        <v>0.41935483870967744</v>
      </c>
      <c r="AO20" s="14">
        <f t="shared" si="3"/>
        <v>2</v>
      </c>
      <c r="AP20" s="1" t="str">
        <f>VLOOKUP(B20,Hoja3!$A$1:$B$14,2,0)</f>
        <v>CESADO</v>
      </c>
      <c r="AQ20" s="1" t="str">
        <f t="shared" si="6"/>
        <v>LITTA CLAROS</v>
      </c>
      <c r="AR20" s="1">
        <f t="shared" si="4"/>
        <v>13</v>
      </c>
      <c r="AS20" s="1" t="str">
        <f t="shared" si="5"/>
        <v>CLAROS NIETO</v>
      </c>
      <c r="AT20" s="1">
        <f t="shared" si="7"/>
        <v>7</v>
      </c>
      <c r="AU20" s="1" t="str">
        <f t="shared" si="8"/>
        <v>LITTA DANERY</v>
      </c>
      <c r="AV20" s="1">
        <f t="shared" si="9"/>
        <v>6</v>
      </c>
    </row>
    <row r="21" spans="1:48">
      <c r="A21" s="2" t="s">
        <v>163</v>
      </c>
      <c r="B21" s="2" t="s">
        <v>164</v>
      </c>
      <c r="C21" s="2" t="s">
        <v>165</v>
      </c>
      <c r="D21" s="5">
        <v>0</v>
      </c>
      <c r="E21" s="5">
        <v>3.888888888888889E-2</v>
      </c>
      <c r="F21" s="5">
        <v>3.6111111111111108E-2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2"/>
      <c r="AJ21" s="1">
        <v>1</v>
      </c>
      <c r="AK21" s="1">
        <f t="shared" si="0"/>
        <v>31</v>
      </c>
      <c r="AL21" s="10">
        <v>6.9444444444444441E-3</v>
      </c>
      <c r="AM21" s="1">
        <f t="shared" si="1"/>
        <v>2</v>
      </c>
      <c r="AN21" s="13">
        <f t="shared" si="2"/>
        <v>6.4516129032258063E-2</v>
      </c>
      <c r="AO21" s="14">
        <f t="shared" si="3"/>
        <v>0</v>
      </c>
      <c r="AP21" s="1" t="str">
        <f>VLOOKUP(B21,Hoja3!$A$1:$B$14,2,0)</f>
        <v>CESADO</v>
      </c>
      <c r="AQ21" s="1" t="str">
        <f t="shared" si="6"/>
        <v>JHON CCARI</v>
      </c>
      <c r="AR21" s="1">
        <f t="shared" si="4"/>
        <v>13</v>
      </c>
      <c r="AS21" s="1" t="str">
        <f t="shared" si="5"/>
        <v>CCARI ASILLO</v>
      </c>
      <c r="AT21" s="1">
        <f t="shared" si="7"/>
        <v>6</v>
      </c>
      <c r="AU21" s="1" t="str">
        <f t="shared" si="8"/>
        <v>JHON MILTHON</v>
      </c>
      <c r="AV21" s="1">
        <f t="shared" si="9"/>
        <v>5</v>
      </c>
    </row>
    <row r="22" spans="1:48">
      <c r="A22" s="2" t="s">
        <v>39</v>
      </c>
      <c r="B22" s="2" t="s">
        <v>40</v>
      </c>
      <c r="C22" s="2" t="s">
        <v>41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2" t="s">
        <v>49</v>
      </c>
      <c r="J22" s="5">
        <v>0</v>
      </c>
      <c r="K22" s="5">
        <v>0</v>
      </c>
      <c r="L22" s="5">
        <v>2.0833333333333333E-3</v>
      </c>
      <c r="M22" s="5">
        <v>0</v>
      </c>
      <c r="N22" s="5">
        <v>0</v>
      </c>
      <c r="O22" s="5">
        <v>4.1666666666666666E-3</v>
      </c>
      <c r="P22" s="5">
        <v>0</v>
      </c>
      <c r="Q22" s="5">
        <v>4.8611111111111112E-3</v>
      </c>
      <c r="R22" s="5">
        <v>1.3888888888888889E-3</v>
      </c>
      <c r="S22" s="5">
        <v>1.3888888888888889E-3</v>
      </c>
      <c r="T22" s="5">
        <v>0</v>
      </c>
      <c r="U22" s="5">
        <v>0</v>
      </c>
      <c r="V22" s="5">
        <v>0</v>
      </c>
      <c r="W22" s="5">
        <v>3.472222222222222E-3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7.6388888888888886E-3</v>
      </c>
      <c r="AD22" s="5">
        <v>0</v>
      </c>
      <c r="AE22" s="5">
        <v>6.9444444444444447E-4</v>
      </c>
      <c r="AF22" s="5">
        <v>0</v>
      </c>
      <c r="AG22" s="5">
        <v>2.7777777777777779E-3</v>
      </c>
      <c r="AH22" s="5">
        <v>0</v>
      </c>
      <c r="AI22" s="2"/>
      <c r="AJ22" s="1">
        <v>1</v>
      </c>
      <c r="AK22" s="1">
        <f t="shared" si="0"/>
        <v>31</v>
      </c>
      <c r="AL22" s="10">
        <v>6.9444444444444441E-3</v>
      </c>
      <c r="AM22" s="1">
        <f t="shared" si="1"/>
        <v>1</v>
      </c>
      <c r="AN22" s="13">
        <f t="shared" si="2"/>
        <v>3.2258064516129031E-2</v>
      </c>
      <c r="AO22" s="14">
        <f t="shared" si="3"/>
        <v>1</v>
      </c>
      <c r="AP22" s="1" t="s">
        <v>203</v>
      </c>
      <c r="AQ22" s="1" t="str">
        <f t="shared" si="6"/>
        <v>FRANCISCO MEJIA</v>
      </c>
      <c r="AR22" s="1">
        <f t="shared" si="4"/>
        <v>13</v>
      </c>
      <c r="AS22" s="1" t="str">
        <f t="shared" si="5"/>
        <v>MEJIA TORRES</v>
      </c>
      <c r="AT22" s="1">
        <f t="shared" si="7"/>
        <v>6</v>
      </c>
      <c r="AU22" s="1" t="str">
        <f t="shared" si="8"/>
        <v>FRANCISCO JAVIER</v>
      </c>
      <c r="AV22" s="1">
        <f t="shared" si="9"/>
        <v>10</v>
      </c>
    </row>
    <row r="23" spans="1:48">
      <c r="A23" s="2" t="s">
        <v>42</v>
      </c>
      <c r="B23" s="2" t="s">
        <v>43</v>
      </c>
      <c r="C23" s="2" t="s">
        <v>44</v>
      </c>
      <c r="D23" s="5">
        <v>1.3888888888888889E-3</v>
      </c>
      <c r="E23" s="5">
        <v>2.0833333333333333E-3</v>
      </c>
      <c r="F23" s="5">
        <v>0</v>
      </c>
      <c r="G23" s="5">
        <v>0</v>
      </c>
      <c r="H23" s="5">
        <v>0</v>
      </c>
      <c r="I23" s="2" t="s">
        <v>49</v>
      </c>
      <c r="J23" s="5">
        <v>0</v>
      </c>
      <c r="K23" s="5">
        <v>0</v>
      </c>
      <c r="L23" s="5">
        <v>4.1666666666666666E-3</v>
      </c>
      <c r="M23" s="5">
        <v>0</v>
      </c>
      <c r="N23" s="5">
        <v>0</v>
      </c>
      <c r="O23" s="5">
        <v>0</v>
      </c>
      <c r="P23" s="5">
        <v>3.472222222222222E-3</v>
      </c>
      <c r="Q23" s="5">
        <v>3.472222222222222E-3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6.9444444444444447E-4</v>
      </c>
      <c r="Y23" s="5">
        <v>2.7777777777777779E-3</v>
      </c>
      <c r="Z23" s="5">
        <v>8.3333333333333332E-3</v>
      </c>
      <c r="AA23" s="5">
        <v>0</v>
      </c>
      <c r="AB23" s="5">
        <v>0</v>
      </c>
      <c r="AC23" s="5">
        <v>6.2500000000000003E-3</v>
      </c>
      <c r="AD23" s="5">
        <v>7.6388888888888886E-3</v>
      </c>
      <c r="AE23" s="5">
        <v>0</v>
      </c>
      <c r="AF23" s="5">
        <v>0</v>
      </c>
      <c r="AG23" s="5">
        <v>3.472222222222222E-3</v>
      </c>
      <c r="AH23" s="5">
        <v>0</v>
      </c>
      <c r="AI23" s="2"/>
      <c r="AJ23" s="1">
        <v>1</v>
      </c>
      <c r="AK23" s="1">
        <f t="shared" si="0"/>
        <v>31</v>
      </c>
      <c r="AL23" s="10">
        <v>6.9444444444444441E-3</v>
      </c>
      <c r="AM23" s="1">
        <f t="shared" si="1"/>
        <v>2</v>
      </c>
      <c r="AN23" s="13">
        <f t="shared" si="2"/>
        <v>6.4516129032258063E-2</v>
      </c>
      <c r="AO23" s="14">
        <f t="shared" si="3"/>
        <v>1</v>
      </c>
      <c r="AP23" s="1" t="s">
        <v>203</v>
      </c>
      <c r="AQ23" s="1" t="str">
        <f t="shared" si="6"/>
        <v>CARLOS GUEVARA</v>
      </c>
      <c r="AR23" s="1">
        <f t="shared" si="4"/>
        <v>16</v>
      </c>
      <c r="AS23" s="1" t="str">
        <f t="shared" si="5"/>
        <v>GUEVARA CABELLO</v>
      </c>
      <c r="AT23" s="1">
        <f t="shared" si="7"/>
        <v>8</v>
      </c>
      <c r="AU23" s="1" t="str">
        <f t="shared" si="8"/>
        <v>CARLOS JEANPIERRE</v>
      </c>
      <c r="AV23" s="1">
        <f t="shared" si="9"/>
        <v>7</v>
      </c>
    </row>
    <row r="24" spans="1:48">
      <c r="A24" s="2" t="s">
        <v>54</v>
      </c>
      <c r="B24" s="2" t="s">
        <v>55</v>
      </c>
      <c r="C24" s="2" t="s">
        <v>56</v>
      </c>
      <c r="D24" s="5">
        <v>0</v>
      </c>
      <c r="E24" s="5">
        <v>1.0416666666666666E-2</v>
      </c>
      <c r="F24" s="5">
        <v>0</v>
      </c>
      <c r="G24" s="5">
        <v>0</v>
      </c>
      <c r="H24" s="5">
        <v>0</v>
      </c>
      <c r="I24" s="2" t="s">
        <v>49</v>
      </c>
      <c r="J24" s="5">
        <v>0</v>
      </c>
      <c r="K24" s="5">
        <v>0</v>
      </c>
      <c r="L24" s="5">
        <v>0</v>
      </c>
      <c r="M24" s="5">
        <v>1.3888888888888889E-3</v>
      </c>
      <c r="N24" s="5">
        <v>0</v>
      </c>
      <c r="O24" s="5">
        <v>0</v>
      </c>
      <c r="P24" s="5">
        <v>6.2500000000000003E-3</v>
      </c>
      <c r="Q24" s="5">
        <v>1.4583333333333334E-2</v>
      </c>
      <c r="R24" s="5">
        <v>1.2500000000000001E-2</v>
      </c>
      <c r="S24" s="5">
        <v>0</v>
      </c>
      <c r="T24" s="5">
        <v>0</v>
      </c>
      <c r="U24" s="5">
        <v>0</v>
      </c>
      <c r="V24" s="5">
        <v>0</v>
      </c>
      <c r="W24" s="5">
        <v>1.2500000000000001E-2</v>
      </c>
      <c r="X24" s="5">
        <v>0</v>
      </c>
      <c r="Y24" s="5">
        <v>0</v>
      </c>
      <c r="Z24" s="5">
        <v>1.1111111111111112E-2</v>
      </c>
      <c r="AA24" s="5">
        <v>0</v>
      </c>
      <c r="AB24" s="5">
        <v>0</v>
      </c>
      <c r="AC24" s="5">
        <v>4.8611111111111112E-3</v>
      </c>
      <c r="AD24" s="5">
        <v>0</v>
      </c>
      <c r="AE24" s="5">
        <v>0</v>
      </c>
      <c r="AF24" s="5">
        <v>0</v>
      </c>
      <c r="AG24" s="5">
        <v>2.6388888888888889E-2</v>
      </c>
      <c r="AH24" s="2" t="s">
        <v>49</v>
      </c>
      <c r="AI24" s="2"/>
      <c r="AJ24" s="1">
        <v>1</v>
      </c>
      <c r="AK24" s="1">
        <f t="shared" si="0"/>
        <v>31</v>
      </c>
      <c r="AL24" s="10">
        <v>6.9444444444444441E-3</v>
      </c>
      <c r="AM24" s="1">
        <f t="shared" si="1"/>
        <v>6</v>
      </c>
      <c r="AN24" s="13">
        <f t="shared" si="2"/>
        <v>0.19354838709677419</v>
      </c>
      <c r="AO24" s="14">
        <f t="shared" si="3"/>
        <v>2</v>
      </c>
      <c r="AP24" s="1" t="s">
        <v>203</v>
      </c>
      <c r="AQ24" s="1" t="str">
        <f t="shared" ref="AQ24:AQ25" si="10">CONCATENATE(AU24," ",(MID(AS24,1,AT24-1)))</f>
        <v>KIMBERLLY AMES</v>
      </c>
      <c r="AR24" s="1">
        <f t="shared" si="4"/>
        <v>14</v>
      </c>
      <c r="AS24" s="1" t="str">
        <f t="shared" si="5"/>
        <v>AMES ESPINOZA</v>
      </c>
      <c r="AT24" s="1">
        <f t="shared" si="7"/>
        <v>5</v>
      </c>
      <c r="AU24" s="1" t="str">
        <f t="shared" si="8"/>
        <v>KIMBERLLY</v>
      </c>
      <c r="AV24" s="1" t="e">
        <f t="shared" si="9"/>
        <v>#VALUE!</v>
      </c>
    </row>
    <row r="25" spans="1:48">
      <c r="A25" s="2" t="s">
        <v>58</v>
      </c>
      <c r="B25" s="2" t="s">
        <v>59</v>
      </c>
      <c r="C25" s="2" t="s">
        <v>60</v>
      </c>
      <c r="D25" s="5">
        <v>7.6388888888888886E-3</v>
      </c>
      <c r="E25" s="5">
        <v>0</v>
      </c>
      <c r="F25" s="5">
        <v>5.5555555555555558E-3</v>
      </c>
      <c r="G25" s="5">
        <v>0</v>
      </c>
      <c r="H25" s="5">
        <v>6.2500000000000003E-3</v>
      </c>
      <c r="I25" s="2" t="s">
        <v>49</v>
      </c>
      <c r="J25" s="5">
        <v>0</v>
      </c>
      <c r="K25" s="5">
        <v>5.5555555555555558E-3</v>
      </c>
      <c r="L25" s="5">
        <v>4.1666666666666666E-3</v>
      </c>
      <c r="M25" s="5">
        <v>8.3333333333333332E-3</v>
      </c>
      <c r="N25" s="5">
        <v>0</v>
      </c>
      <c r="O25" s="5">
        <v>8.3333333333333332E-3</v>
      </c>
      <c r="P25" s="5">
        <v>1.2500000000000001E-2</v>
      </c>
      <c r="Q25" s="5">
        <v>9.7222222222222224E-3</v>
      </c>
      <c r="R25" s="5">
        <v>8.3333333333333332E-3</v>
      </c>
      <c r="S25" s="5">
        <v>0</v>
      </c>
      <c r="T25" s="5">
        <v>0</v>
      </c>
      <c r="U25" s="5">
        <v>0</v>
      </c>
      <c r="V25" s="5">
        <v>0</v>
      </c>
      <c r="W25" s="5">
        <v>1.3194444444444444E-2</v>
      </c>
      <c r="X25" s="5">
        <v>1.5972222222222221E-2</v>
      </c>
      <c r="Y25" s="5">
        <v>1.1805555555555555E-2</v>
      </c>
      <c r="Z25" s="5">
        <v>0</v>
      </c>
      <c r="AA25" s="5">
        <v>0</v>
      </c>
      <c r="AB25" s="5">
        <v>0</v>
      </c>
      <c r="AC25" s="5">
        <v>4.8611111111111112E-3</v>
      </c>
      <c r="AD25" s="5">
        <v>1.3888888888888888E-2</v>
      </c>
      <c r="AE25" s="5">
        <v>8.3333333333333332E-3</v>
      </c>
      <c r="AF25" s="5">
        <v>1.8055555555555554E-2</v>
      </c>
      <c r="AG25" s="5">
        <v>0</v>
      </c>
      <c r="AH25" s="5">
        <v>1.1111111111111112E-2</v>
      </c>
      <c r="AI25" s="2"/>
      <c r="AJ25" s="1">
        <v>1</v>
      </c>
      <c r="AK25" s="1">
        <f t="shared" si="0"/>
        <v>31</v>
      </c>
      <c r="AL25" s="10">
        <v>6.9444444444444441E-3</v>
      </c>
      <c r="AM25" s="1">
        <f t="shared" si="1"/>
        <v>13</v>
      </c>
      <c r="AN25" s="13">
        <f t="shared" si="2"/>
        <v>0.41935483870967744</v>
      </c>
      <c r="AO25" s="14">
        <f t="shared" si="3"/>
        <v>1</v>
      </c>
      <c r="AP25" s="1" t="s">
        <v>203</v>
      </c>
      <c r="AQ25" s="1" t="str">
        <f t="shared" si="10"/>
        <v>LILIANA ALVARADO</v>
      </c>
      <c r="AR25" s="1">
        <f t="shared" si="4"/>
        <v>16</v>
      </c>
      <c r="AS25" s="1" t="str">
        <f t="shared" si="5"/>
        <v>ALVARADO ECHAIZ</v>
      </c>
      <c r="AT25" s="1">
        <f t="shared" si="7"/>
        <v>9</v>
      </c>
      <c r="AU25" s="1" t="str">
        <f t="shared" si="8"/>
        <v>LILIANA</v>
      </c>
      <c r="AV25" s="1" t="e">
        <f t="shared" si="9"/>
        <v>#VALUE!</v>
      </c>
    </row>
    <row r="26" spans="1:48">
      <c r="A26" s="2" t="s">
        <v>166</v>
      </c>
      <c r="B26" s="2" t="s">
        <v>167</v>
      </c>
      <c r="C26" s="2" t="s">
        <v>168</v>
      </c>
      <c r="D26" s="2" t="s">
        <v>49</v>
      </c>
      <c r="E26" s="2" t="s">
        <v>49</v>
      </c>
      <c r="F26" s="2" t="s">
        <v>49</v>
      </c>
      <c r="G26" s="5">
        <v>0</v>
      </c>
      <c r="H26" s="2" t="s">
        <v>49</v>
      </c>
      <c r="I26" s="2" t="s">
        <v>49</v>
      </c>
      <c r="J26" s="5">
        <v>0</v>
      </c>
      <c r="K26" s="2" t="s">
        <v>49</v>
      </c>
      <c r="L26" s="2" t="s">
        <v>49</v>
      </c>
      <c r="M26" s="2" t="s">
        <v>49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2"/>
      <c r="AJ26" s="1">
        <v>1</v>
      </c>
      <c r="AK26" s="1">
        <f t="shared" si="0"/>
        <v>31</v>
      </c>
      <c r="AL26" s="10">
        <v>6.9444444444444441E-3</v>
      </c>
      <c r="AM26" s="1">
        <f t="shared" si="1"/>
        <v>0</v>
      </c>
      <c r="AN26" s="13">
        <f t="shared" si="2"/>
        <v>0</v>
      </c>
      <c r="AO26" s="14">
        <f t="shared" si="3"/>
        <v>8</v>
      </c>
      <c r="AP26" s="1" t="str">
        <f>VLOOKUP(B26,Hoja3!$A$1:$B$14,2,0)</f>
        <v>CESADO</v>
      </c>
      <c r="AQ26" s="1" t="str">
        <f t="shared" si="6"/>
        <v>LUZ MAYTA</v>
      </c>
      <c r="AR26" s="1">
        <f t="shared" si="4"/>
        <v>13</v>
      </c>
      <c r="AS26" s="1" t="str">
        <f t="shared" si="5"/>
        <v>MAYTA HUANCA</v>
      </c>
      <c r="AT26" s="1">
        <f t="shared" si="7"/>
        <v>6</v>
      </c>
      <c r="AU26" s="1" t="str">
        <f t="shared" si="8"/>
        <v>LUZ GABY</v>
      </c>
      <c r="AV26" s="1">
        <f t="shared" si="9"/>
        <v>4</v>
      </c>
    </row>
    <row r="27" spans="1:48">
      <c r="A27" s="2" t="s">
        <v>169</v>
      </c>
      <c r="B27" s="2" t="s">
        <v>170</v>
      </c>
      <c r="C27" s="2" t="s">
        <v>171</v>
      </c>
      <c r="D27" s="5">
        <v>1.1805555555555555E-2</v>
      </c>
      <c r="E27" s="5">
        <v>1.1111111111111112E-2</v>
      </c>
      <c r="F27" s="5">
        <v>0</v>
      </c>
      <c r="G27" s="5">
        <v>0</v>
      </c>
      <c r="H27" s="5">
        <v>2.0833333333333333E-3</v>
      </c>
      <c r="I27" s="2" t="s">
        <v>49</v>
      </c>
      <c r="J27" s="5">
        <v>0</v>
      </c>
      <c r="K27" s="5">
        <v>9.7222222222222224E-3</v>
      </c>
      <c r="L27" s="5">
        <v>3.3333333333333333E-2</v>
      </c>
      <c r="M27" s="2" t="s">
        <v>49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2"/>
      <c r="AJ27" s="1">
        <v>1</v>
      </c>
      <c r="AK27" s="1">
        <f t="shared" si="0"/>
        <v>31</v>
      </c>
      <c r="AL27" s="10">
        <v>6.9444444444444441E-3</v>
      </c>
      <c r="AM27" s="1">
        <f t="shared" si="1"/>
        <v>4</v>
      </c>
      <c r="AN27" s="13">
        <f t="shared" si="2"/>
        <v>0.12903225806451613</v>
      </c>
      <c r="AO27" s="14">
        <f t="shared" si="3"/>
        <v>2</v>
      </c>
      <c r="AP27" s="1" t="s">
        <v>201</v>
      </c>
      <c r="AQ27" s="1" t="str">
        <f t="shared" si="6"/>
        <v>BRIGHITTE ALVAREZ</v>
      </c>
      <c r="AR27" s="1">
        <f t="shared" si="4"/>
        <v>15</v>
      </c>
      <c r="AS27" s="1" t="str">
        <f t="shared" si="5"/>
        <v>ALVAREZ MINAYA</v>
      </c>
      <c r="AT27" s="1">
        <f t="shared" si="7"/>
        <v>8</v>
      </c>
      <c r="AU27" s="1" t="str">
        <f t="shared" si="8"/>
        <v>BRIGHITTE SONIA</v>
      </c>
      <c r="AV27" s="1">
        <f t="shared" si="9"/>
        <v>10</v>
      </c>
    </row>
    <row r="28" spans="1:48">
      <c r="A28" s="2" t="s">
        <v>61</v>
      </c>
      <c r="B28" s="2" t="s">
        <v>62</v>
      </c>
      <c r="C28" s="2" t="s">
        <v>63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2" t="s">
        <v>172</v>
      </c>
      <c r="L28" s="5">
        <v>0</v>
      </c>
      <c r="M28" s="5">
        <v>0</v>
      </c>
      <c r="N28" s="5">
        <v>0</v>
      </c>
      <c r="O28" s="5">
        <v>1.3888888888888889E-3</v>
      </c>
      <c r="P28" s="5">
        <v>0</v>
      </c>
      <c r="Q28" s="5">
        <v>6.9444444444444447E-4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6.2500000000000003E-3</v>
      </c>
      <c r="Z28" s="5">
        <v>0</v>
      </c>
      <c r="AA28" s="5">
        <v>0</v>
      </c>
      <c r="AB28" s="5">
        <v>0</v>
      </c>
      <c r="AC28" s="5">
        <v>0</v>
      </c>
      <c r="AD28" s="5">
        <v>6.2500000000000003E-3</v>
      </c>
      <c r="AE28" s="5">
        <v>0</v>
      </c>
      <c r="AF28" s="5">
        <v>0</v>
      </c>
      <c r="AG28" s="5">
        <v>0</v>
      </c>
      <c r="AH28" s="5">
        <v>0</v>
      </c>
      <c r="AI28" s="2"/>
      <c r="AJ28" s="1">
        <v>1</v>
      </c>
      <c r="AK28" s="1">
        <f t="shared" si="0"/>
        <v>31</v>
      </c>
      <c r="AL28" s="10">
        <v>6.9444444444444441E-3</v>
      </c>
      <c r="AM28" s="1">
        <f t="shared" si="1"/>
        <v>0</v>
      </c>
      <c r="AN28" s="13">
        <f t="shared" si="2"/>
        <v>0</v>
      </c>
      <c r="AO28" s="14">
        <f t="shared" si="3"/>
        <v>0</v>
      </c>
      <c r="AP28" s="1" t="s">
        <v>203</v>
      </c>
      <c r="AQ28" s="1" t="str">
        <f t="shared" si="6"/>
        <v>MANUEL MERMA</v>
      </c>
      <c r="AR28" s="1">
        <f t="shared" si="4"/>
        <v>12</v>
      </c>
      <c r="AS28" s="1" t="str">
        <f t="shared" si="5"/>
        <v>MERMA CHILA</v>
      </c>
      <c r="AT28" s="1">
        <f t="shared" si="7"/>
        <v>6</v>
      </c>
      <c r="AU28" s="1" t="str">
        <f t="shared" si="8"/>
        <v>MANUEL ENRIQUE</v>
      </c>
      <c r="AV28" s="1">
        <f t="shared" si="9"/>
        <v>7</v>
      </c>
    </row>
    <row r="29" spans="1:48">
      <c r="A29" s="2" t="s">
        <v>64</v>
      </c>
      <c r="B29" s="2" t="s">
        <v>65</v>
      </c>
      <c r="C29" s="2" t="s">
        <v>66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2" t="s">
        <v>49</v>
      </c>
      <c r="S29" s="2" t="s">
        <v>49</v>
      </c>
      <c r="T29" s="5">
        <v>0</v>
      </c>
      <c r="U29" s="5">
        <v>0</v>
      </c>
      <c r="V29" s="5">
        <v>0</v>
      </c>
      <c r="W29" s="2" t="s">
        <v>49</v>
      </c>
      <c r="X29" s="2" t="s">
        <v>49</v>
      </c>
      <c r="Y29" s="2" t="s">
        <v>49</v>
      </c>
      <c r="Z29" s="2" t="s">
        <v>49</v>
      </c>
      <c r="AA29" s="2" t="s">
        <v>49</v>
      </c>
      <c r="AB29" s="5">
        <v>0</v>
      </c>
      <c r="AC29" s="2" t="s">
        <v>49</v>
      </c>
      <c r="AD29" s="2" t="s">
        <v>49</v>
      </c>
      <c r="AE29" s="5">
        <v>0</v>
      </c>
      <c r="AF29" s="5">
        <v>0</v>
      </c>
      <c r="AG29" s="5">
        <v>4.1666666666666666E-3</v>
      </c>
      <c r="AH29" s="5">
        <v>9.7222222222222224E-3</v>
      </c>
      <c r="AI29" s="2"/>
      <c r="AJ29" s="1">
        <v>1</v>
      </c>
      <c r="AK29" s="1">
        <f t="shared" si="0"/>
        <v>31</v>
      </c>
      <c r="AL29" s="10">
        <v>6.9444444444444441E-3</v>
      </c>
      <c r="AM29" s="1">
        <f t="shared" si="1"/>
        <v>1</v>
      </c>
      <c r="AN29" s="13">
        <f t="shared" si="2"/>
        <v>3.2258064516129031E-2</v>
      </c>
      <c r="AO29" s="14">
        <f t="shared" si="3"/>
        <v>9</v>
      </c>
      <c r="AP29" s="1" t="s">
        <v>203</v>
      </c>
      <c r="AQ29" s="1" t="str">
        <f t="shared" si="6"/>
        <v>GRECIA SANCHEZ</v>
      </c>
      <c r="AR29" s="1">
        <f t="shared" si="4"/>
        <v>16</v>
      </c>
      <c r="AS29" s="1" t="str">
        <f t="shared" si="5"/>
        <v>SANCHEZ PANAIFO</v>
      </c>
      <c r="AT29" s="1">
        <f t="shared" si="7"/>
        <v>8</v>
      </c>
      <c r="AU29" s="1" t="str">
        <f t="shared" si="8"/>
        <v>GRECIA DANNAE</v>
      </c>
      <c r="AV29" s="1">
        <f t="shared" si="9"/>
        <v>7</v>
      </c>
    </row>
    <row r="30" spans="1:48">
      <c r="A30" s="2" t="s">
        <v>68</v>
      </c>
      <c r="B30" s="2" t="s">
        <v>69</v>
      </c>
      <c r="C30" s="2" t="s">
        <v>70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2" t="s">
        <v>173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1.3888888888888889E-3</v>
      </c>
      <c r="AG30" s="5">
        <v>0</v>
      </c>
      <c r="AH30" s="5">
        <v>6.9444444444444447E-4</v>
      </c>
      <c r="AI30" s="2"/>
      <c r="AJ30" s="1">
        <v>1</v>
      </c>
      <c r="AK30" s="1">
        <f t="shared" si="0"/>
        <v>31</v>
      </c>
      <c r="AL30" s="10">
        <v>6.9444444444444441E-3</v>
      </c>
      <c r="AM30" s="1">
        <f t="shared" si="1"/>
        <v>0</v>
      </c>
      <c r="AN30" s="13">
        <f t="shared" si="2"/>
        <v>0</v>
      </c>
      <c r="AO30" s="14">
        <f t="shared" si="3"/>
        <v>0</v>
      </c>
      <c r="AP30" s="1" t="str">
        <f>VLOOKUP(B30,Hoja3!$A$1:$B$14,2,0)</f>
        <v>CESADO</v>
      </c>
      <c r="AQ30" s="1" t="str">
        <f t="shared" si="6"/>
        <v>DIANA CHAVEZ</v>
      </c>
      <c r="AR30" s="1">
        <f t="shared" si="4"/>
        <v>15</v>
      </c>
      <c r="AS30" s="1" t="str">
        <f t="shared" si="5"/>
        <v>CHAVEZ GUILLEN</v>
      </c>
      <c r="AT30" s="1">
        <f t="shared" si="7"/>
        <v>7</v>
      </c>
      <c r="AU30" s="1" t="str">
        <f t="shared" si="8"/>
        <v>DIANA CAROLINA</v>
      </c>
      <c r="AV30" s="1">
        <f t="shared" si="9"/>
        <v>6</v>
      </c>
    </row>
    <row r="31" spans="1:48">
      <c r="A31" s="2" t="s">
        <v>72</v>
      </c>
      <c r="B31" s="2" t="s">
        <v>73</v>
      </c>
      <c r="C31" s="2" t="s">
        <v>74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6.9444444444444447E-4</v>
      </c>
      <c r="AI31" s="2"/>
      <c r="AJ31" s="1">
        <v>1</v>
      </c>
      <c r="AK31" s="1">
        <f t="shared" si="0"/>
        <v>31</v>
      </c>
      <c r="AL31" s="10">
        <v>6.9444444444444441E-3</v>
      </c>
      <c r="AM31" s="1">
        <f t="shared" si="1"/>
        <v>0</v>
      </c>
      <c r="AN31" s="13">
        <f t="shared" si="2"/>
        <v>0</v>
      </c>
      <c r="AO31" s="14">
        <f t="shared" si="3"/>
        <v>0</v>
      </c>
      <c r="AP31" s="1" t="s">
        <v>203</v>
      </c>
      <c r="AQ31" s="1" t="str">
        <f t="shared" si="6"/>
        <v>JONATHAN URDAY</v>
      </c>
      <c r="AR31" s="1">
        <f t="shared" si="4"/>
        <v>13</v>
      </c>
      <c r="AS31" s="1" t="str">
        <f t="shared" si="5"/>
        <v>URDAY CHOQUE</v>
      </c>
      <c r="AT31" s="1">
        <f t="shared" si="7"/>
        <v>6</v>
      </c>
      <c r="AU31" s="1" t="str">
        <f t="shared" si="8"/>
        <v>JONATHAN EDGARD</v>
      </c>
      <c r="AV31" s="1">
        <f t="shared" si="9"/>
        <v>9</v>
      </c>
    </row>
    <row r="32" spans="1:48">
      <c r="A32" s="2" t="s">
        <v>121</v>
      </c>
      <c r="B32" s="2" t="s">
        <v>122</v>
      </c>
      <c r="C32" s="2" t="s">
        <v>123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2" t="s">
        <v>173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2"/>
      <c r="AJ32" s="1">
        <v>1</v>
      </c>
      <c r="AK32" s="1">
        <f t="shared" si="0"/>
        <v>31</v>
      </c>
      <c r="AL32" s="10">
        <v>6.9444444444444441E-3</v>
      </c>
      <c r="AM32" s="1">
        <f t="shared" si="1"/>
        <v>0</v>
      </c>
      <c r="AN32" s="13">
        <f t="shared" si="2"/>
        <v>0</v>
      </c>
      <c r="AO32" s="14">
        <f t="shared" si="3"/>
        <v>0</v>
      </c>
      <c r="AP32" s="1" t="str">
        <f>VLOOKUP(B32,Hoja3!$A$1:$B$14,2,0)</f>
        <v>CESADO</v>
      </c>
      <c r="AQ32" s="1" t="str">
        <f t="shared" si="6"/>
        <v>MARLENE PEREZ</v>
      </c>
      <c r="AR32" s="1">
        <f t="shared" si="4"/>
        <v>11</v>
      </c>
      <c r="AS32" s="1" t="str">
        <f t="shared" si="5"/>
        <v>PEREZ VERA</v>
      </c>
      <c r="AT32" s="1">
        <f t="shared" si="7"/>
        <v>6</v>
      </c>
      <c r="AU32" s="1" t="str">
        <f t="shared" si="8"/>
        <v>MARLENE BETTY</v>
      </c>
      <c r="AV32" s="1">
        <f t="shared" si="9"/>
        <v>8</v>
      </c>
    </row>
    <row r="33" spans="1:48">
      <c r="A33" s="2" t="s">
        <v>76</v>
      </c>
      <c r="B33" s="2" t="s">
        <v>77</v>
      </c>
      <c r="C33" s="2" t="s">
        <v>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2" t="s">
        <v>49</v>
      </c>
      <c r="Z33" s="2" t="s">
        <v>49</v>
      </c>
      <c r="AA33" s="2" t="s">
        <v>49</v>
      </c>
      <c r="AB33" s="5">
        <v>0</v>
      </c>
      <c r="AC33" s="2" t="s">
        <v>49</v>
      </c>
      <c r="AD33" s="2" t="s">
        <v>49</v>
      </c>
      <c r="AE33" s="5">
        <v>0</v>
      </c>
      <c r="AF33" s="5">
        <v>0</v>
      </c>
      <c r="AG33" s="5">
        <v>1.5972222222222221E-2</v>
      </c>
      <c r="AH33" s="5">
        <v>0</v>
      </c>
      <c r="AI33" s="2"/>
      <c r="AJ33" s="1">
        <v>1</v>
      </c>
      <c r="AK33" s="1">
        <f t="shared" si="0"/>
        <v>31</v>
      </c>
      <c r="AL33" s="10">
        <v>6.9444444444444441E-3</v>
      </c>
      <c r="AM33" s="1">
        <f t="shared" si="1"/>
        <v>1</v>
      </c>
      <c r="AN33" s="13">
        <f t="shared" si="2"/>
        <v>3.2258064516129031E-2</v>
      </c>
      <c r="AO33" s="14">
        <f t="shared" si="3"/>
        <v>5</v>
      </c>
      <c r="AP33" s="1" t="str">
        <f>VLOOKUP(B33,Hoja3!$A$1:$B$14,2,0)</f>
        <v>CESADO</v>
      </c>
      <c r="AQ33" s="1" t="str">
        <f t="shared" si="6"/>
        <v>YAEL ALARCON</v>
      </c>
      <c r="AR33" s="1">
        <f t="shared" si="4"/>
        <v>18</v>
      </c>
      <c r="AS33" s="1" t="str">
        <f t="shared" si="5"/>
        <v>ALARCON MONTALVAN</v>
      </c>
      <c r="AT33" s="1">
        <f t="shared" si="7"/>
        <v>8</v>
      </c>
      <c r="AU33" s="1" t="str">
        <f t="shared" si="8"/>
        <v>YAEL ASHLEY</v>
      </c>
      <c r="AV33" s="1">
        <f t="shared" si="9"/>
        <v>5</v>
      </c>
    </row>
    <row r="34" spans="1:48">
      <c r="A34" s="2" t="s">
        <v>3</v>
      </c>
      <c r="B34" s="2" t="s">
        <v>4</v>
      </c>
      <c r="C34" s="2" t="s">
        <v>5</v>
      </c>
      <c r="D34" s="5">
        <v>0</v>
      </c>
      <c r="E34" s="5">
        <v>1.5277777777777777E-2</v>
      </c>
      <c r="F34" s="5">
        <v>1.3194444444444444E-2</v>
      </c>
      <c r="G34" s="5">
        <v>2.5694444444444443E-2</v>
      </c>
      <c r="H34" s="5">
        <v>9.7222222222222224E-3</v>
      </c>
      <c r="I34" s="5">
        <v>1.1805555555555555E-2</v>
      </c>
      <c r="J34" s="5">
        <v>0</v>
      </c>
      <c r="K34" s="5">
        <v>0</v>
      </c>
      <c r="L34" s="5">
        <v>9.7222222222222224E-3</v>
      </c>
      <c r="M34" s="5">
        <v>1.3194444444444444E-2</v>
      </c>
      <c r="N34" s="5">
        <v>2.361111111111111E-2</v>
      </c>
      <c r="O34" s="5">
        <v>4.8611111111111112E-3</v>
      </c>
      <c r="P34" s="5">
        <v>1.9444444444444445E-2</v>
      </c>
      <c r="Q34" s="5">
        <v>0</v>
      </c>
      <c r="R34" s="5">
        <v>0</v>
      </c>
      <c r="S34" s="5">
        <v>1.8749999999999999E-2</v>
      </c>
      <c r="T34" s="5">
        <v>1.4583333333333334E-2</v>
      </c>
      <c r="U34" s="5">
        <v>1.3194444444444444E-2</v>
      </c>
      <c r="V34" s="5">
        <v>2.1527777777777778E-2</v>
      </c>
      <c r="W34" s="5">
        <v>1.7361111111111112E-2</v>
      </c>
      <c r="X34" s="5">
        <v>0</v>
      </c>
      <c r="Y34" s="5">
        <v>0</v>
      </c>
      <c r="Z34" s="5">
        <v>8.3333333333333332E-3</v>
      </c>
      <c r="AA34" s="5">
        <v>1.7361111111111112E-2</v>
      </c>
      <c r="AB34" s="5">
        <v>6.9444444444444441E-3</v>
      </c>
      <c r="AC34" s="5">
        <v>1.9444444444444445E-2</v>
      </c>
      <c r="AD34" s="2" t="s">
        <v>49</v>
      </c>
      <c r="AE34" s="5">
        <v>6.2500000000000003E-3</v>
      </c>
      <c r="AF34" s="5">
        <v>0</v>
      </c>
      <c r="AG34" s="5">
        <v>2.7777777777777776E-2</v>
      </c>
      <c r="AH34" s="5">
        <v>1.8749999999999999E-2</v>
      </c>
      <c r="AI34" s="2"/>
      <c r="AJ34" s="1">
        <v>2</v>
      </c>
      <c r="AK34" s="1">
        <f t="shared" si="0"/>
        <v>31</v>
      </c>
      <c r="AL34" s="10">
        <v>6.9444444444444441E-3</v>
      </c>
      <c r="AM34" s="1">
        <f t="shared" si="1"/>
        <v>19</v>
      </c>
      <c r="AN34" s="13">
        <f t="shared" si="2"/>
        <v>0.61290322580645162</v>
      </c>
      <c r="AO34" s="14">
        <f t="shared" si="3"/>
        <v>1</v>
      </c>
      <c r="AP34" s="1" t="s">
        <v>203</v>
      </c>
      <c r="AQ34" s="1" t="str">
        <f t="shared" si="6"/>
        <v>ROCIO CACERES</v>
      </c>
      <c r="AR34" s="1">
        <f t="shared" si="4"/>
        <v>16</v>
      </c>
      <c r="AS34" s="1" t="str">
        <f t="shared" si="5"/>
        <v>CACERES CORDOVA</v>
      </c>
      <c r="AT34" s="1">
        <f t="shared" si="7"/>
        <v>8</v>
      </c>
      <c r="AU34" s="1" t="str">
        <f t="shared" si="8"/>
        <v>ROCIO SANDRA</v>
      </c>
      <c r="AV34" s="1">
        <f t="shared" si="9"/>
        <v>6</v>
      </c>
    </row>
    <row r="35" spans="1:48">
      <c r="A35" s="2" t="s">
        <v>8</v>
      </c>
      <c r="B35" s="2" t="s">
        <v>9</v>
      </c>
      <c r="C35" s="2" t="s">
        <v>10</v>
      </c>
      <c r="D35" s="5">
        <v>0</v>
      </c>
      <c r="E35" s="5">
        <v>1.9444444444444445E-2</v>
      </c>
      <c r="F35" s="5">
        <v>1.0416666666666666E-2</v>
      </c>
      <c r="G35" s="5">
        <v>1.7361111111111112E-2</v>
      </c>
      <c r="H35" s="5">
        <v>2.5000000000000001E-2</v>
      </c>
      <c r="I35" s="5">
        <v>1.9444444444444445E-2</v>
      </c>
      <c r="J35" s="5">
        <v>2.0833333333333332E-2</v>
      </c>
      <c r="K35" s="5">
        <v>0</v>
      </c>
      <c r="L35" s="5">
        <v>3.3333333333333333E-2</v>
      </c>
      <c r="M35" s="5">
        <v>2.9861111111111113E-2</v>
      </c>
      <c r="N35" s="5">
        <v>2.5694444444444443E-2</v>
      </c>
      <c r="O35" s="5">
        <v>1.5277777777777777E-2</v>
      </c>
      <c r="P35" s="5">
        <v>2.2916666666666665E-2</v>
      </c>
      <c r="Q35" s="5">
        <v>3.0555555555555555E-2</v>
      </c>
      <c r="R35" s="5">
        <v>0</v>
      </c>
      <c r="S35" s="5">
        <v>3.7499999999999999E-2</v>
      </c>
      <c r="T35" s="5">
        <v>2.2916666666666665E-2</v>
      </c>
      <c r="U35" s="5">
        <v>2.0833333333333332E-2</v>
      </c>
      <c r="V35" s="5">
        <v>2.7083333333333334E-2</v>
      </c>
      <c r="W35" s="2" t="s">
        <v>115</v>
      </c>
      <c r="X35" s="5">
        <v>1.8749999999999999E-2</v>
      </c>
      <c r="Y35" s="5">
        <v>0</v>
      </c>
      <c r="Z35" s="5">
        <v>0</v>
      </c>
      <c r="AA35" s="5">
        <v>1.1111111111111112E-2</v>
      </c>
      <c r="AB35" s="5">
        <v>2.5694444444444443E-2</v>
      </c>
      <c r="AC35" s="5">
        <v>1.3888888888888889E-3</v>
      </c>
      <c r="AD35" s="5">
        <v>1.1805555555555555E-2</v>
      </c>
      <c r="AE35" s="5">
        <v>0</v>
      </c>
      <c r="AF35" s="5">
        <v>0</v>
      </c>
      <c r="AG35" s="5">
        <v>1.6666666666666666E-2</v>
      </c>
      <c r="AH35" s="5">
        <v>2.2916666666666665E-2</v>
      </c>
      <c r="AI35" s="2"/>
      <c r="AJ35" s="1">
        <v>2</v>
      </c>
      <c r="AK35" s="1">
        <f t="shared" si="0"/>
        <v>31</v>
      </c>
      <c r="AL35" s="10">
        <v>6.9444444444444441E-3</v>
      </c>
      <c r="AM35" s="1">
        <f t="shared" si="1"/>
        <v>22</v>
      </c>
      <c r="AN35" s="13">
        <f t="shared" si="2"/>
        <v>0.70967741935483875</v>
      </c>
      <c r="AO35" s="14">
        <f t="shared" si="3"/>
        <v>0</v>
      </c>
      <c r="AP35" s="1" t="s">
        <v>203</v>
      </c>
      <c r="AQ35" s="1" t="str">
        <f t="shared" si="6"/>
        <v>LOURDES LLANOS</v>
      </c>
      <c r="AR35" s="1">
        <f t="shared" si="4"/>
        <v>13</v>
      </c>
      <c r="AS35" s="1" t="str">
        <f t="shared" si="5"/>
        <v>LLANOS YAURI</v>
      </c>
      <c r="AT35" s="1">
        <f t="shared" si="7"/>
        <v>7</v>
      </c>
      <c r="AU35" s="1" t="str">
        <f t="shared" si="8"/>
        <v>LOURDES LUCIA</v>
      </c>
      <c r="AV35" s="1">
        <f t="shared" si="9"/>
        <v>8</v>
      </c>
    </row>
    <row r="36" spans="1:48">
      <c r="A36" s="2" t="s">
        <v>11</v>
      </c>
      <c r="B36" s="2" t="s">
        <v>12</v>
      </c>
      <c r="C36" s="2" t="s">
        <v>13</v>
      </c>
      <c r="D36" s="5">
        <v>0</v>
      </c>
      <c r="E36" s="5">
        <v>2.7083333333333334E-2</v>
      </c>
      <c r="F36" s="5">
        <v>0</v>
      </c>
      <c r="G36" s="5">
        <v>1.0416666666666666E-2</v>
      </c>
      <c r="H36" s="5">
        <v>0</v>
      </c>
      <c r="I36" s="5">
        <v>1.8749999999999999E-2</v>
      </c>
      <c r="J36" s="5">
        <v>3.472222222222222E-3</v>
      </c>
      <c r="K36" s="5">
        <v>0</v>
      </c>
      <c r="L36" s="5">
        <v>1.3194444444444444E-2</v>
      </c>
      <c r="M36" s="5">
        <v>2.361111111111111E-2</v>
      </c>
      <c r="N36" s="5">
        <v>8.3333333333333332E-3</v>
      </c>
      <c r="O36" s="5">
        <v>2.1527777777777778E-2</v>
      </c>
      <c r="P36" s="5">
        <v>1.8055555555555554E-2</v>
      </c>
      <c r="Q36" s="5">
        <v>6.9444444444444441E-3</v>
      </c>
      <c r="R36" s="5">
        <v>0</v>
      </c>
      <c r="S36" s="5">
        <v>9.7222222222222224E-3</v>
      </c>
      <c r="T36" s="5">
        <v>1.6666666666666666E-2</v>
      </c>
      <c r="U36" s="5">
        <v>1.2500000000000001E-2</v>
      </c>
      <c r="V36" s="5">
        <v>1.4583333333333334E-2</v>
      </c>
      <c r="W36" s="5">
        <v>1.8749999999999999E-2</v>
      </c>
      <c r="X36" s="5">
        <v>7.6388888888888886E-3</v>
      </c>
      <c r="Y36" s="5">
        <v>0</v>
      </c>
      <c r="Z36" s="5">
        <v>0</v>
      </c>
      <c r="AA36" s="5">
        <v>2.7777777777777779E-3</v>
      </c>
      <c r="AB36" s="5">
        <v>2.013888888888889E-2</v>
      </c>
      <c r="AC36" s="5">
        <v>1.3888888888888889E-3</v>
      </c>
      <c r="AD36" s="5">
        <v>7.6388888888888886E-3</v>
      </c>
      <c r="AE36" s="5">
        <v>1.3194444444444444E-2</v>
      </c>
      <c r="AF36" s="5">
        <v>0</v>
      </c>
      <c r="AG36" s="5">
        <v>6.9444444444444441E-3</v>
      </c>
      <c r="AH36" s="5">
        <v>1.6666666666666666E-2</v>
      </c>
      <c r="AI36" s="2"/>
      <c r="AJ36" s="1">
        <v>2</v>
      </c>
      <c r="AK36" s="1">
        <f t="shared" si="0"/>
        <v>31</v>
      </c>
      <c r="AL36" s="10">
        <v>6.9444444444444441E-3</v>
      </c>
      <c r="AM36" s="1">
        <f t="shared" si="1"/>
        <v>18</v>
      </c>
      <c r="AN36" s="13">
        <f t="shared" si="2"/>
        <v>0.58064516129032262</v>
      </c>
      <c r="AO36" s="14">
        <f t="shared" si="3"/>
        <v>0</v>
      </c>
      <c r="AP36" s="1" t="s">
        <v>203</v>
      </c>
      <c r="AQ36" s="1" t="str">
        <f t="shared" ref="AQ36:AQ37" si="11">CONCATENATE(AU36," ",(MID(AS36,1,AT36-1)))</f>
        <v>MARIELLA TICLLA</v>
      </c>
      <c r="AR36" s="1">
        <f t="shared" si="4"/>
        <v>13</v>
      </c>
      <c r="AS36" s="1" t="str">
        <f t="shared" si="5"/>
        <v>TICLLA RAMOS</v>
      </c>
      <c r="AT36" s="1">
        <f t="shared" si="7"/>
        <v>7</v>
      </c>
      <c r="AU36" s="1" t="str">
        <f t="shared" si="8"/>
        <v>MARIELLA</v>
      </c>
      <c r="AV36" s="1" t="e">
        <f t="shared" si="9"/>
        <v>#VALUE!</v>
      </c>
    </row>
    <row r="37" spans="1:48">
      <c r="A37" s="2" t="s">
        <v>14</v>
      </c>
      <c r="B37" s="2" t="s">
        <v>15</v>
      </c>
      <c r="C37" s="2" t="s">
        <v>16</v>
      </c>
      <c r="D37" s="5">
        <v>0</v>
      </c>
      <c r="E37" s="5">
        <v>0</v>
      </c>
      <c r="F37" s="5">
        <v>0</v>
      </c>
      <c r="G37" s="5">
        <v>7.6388888888888886E-3</v>
      </c>
      <c r="H37" s="5">
        <v>8.3333333333333332E-3</v>
      </c>
      <c r="I37" s="5">
        <v>2.0833333333333333E-3</v>
      </c>
      <c r="J37" s="5">
        <v>6.2500000000000003E-3</v>
      </c>
      <c r="K37" s="5">
        <v>0</v>
      </c>
      <c r="L37" s="5">
        <v>4.8611111111111112E-3</v>
      </c>
      <c r="M37" s="5">
        <v>1.2500000000000001E-2</v>
      </c>
      <c r="N37" s="5">
        <v>6.9444444444444441E-3</v>
      </c>
      <c r="O37" s="5">
        <v>2.8472222222222222E-2</v>
      </c>
      <c r="P37" s="5">
        <v>3.472222222222222E-3</v>
      </c>
      <c r="Q37" s="5">
        <v>7.6388888888888886E-3</v>
      </c>
      <c r="R37" s="5">
        <v>0</v>
      </c>
      <c r="S37" s="5">
        <v>1.3888888888888889E-3</v>
      </c>
      <c r="T37" s="5">
        <v>1.2500000000000001E-2</v>
      </c>
      <c r="U37" s="5">
        <v>5.5555555555555558E-3</v>
      </c>
      <c r="V37" s="5">
        <v>3.472222222222222E-3</v>
      </c>
      <c r="W37" s="5">
        <v>0</v>
      </c>
      <c r="X37" s="5">
        <v>1.3888888888888889E-3</v>
      </c>
      <c r="Y37" s="5">
        <v>0</v>
      </c>
      <c r="Z37" s="5">
        <v>2.0833333333333333E-3</v>
      </c>
      <c r="AA37" s="5">
        <v>1.3888888888888889E-3</v>
      </c>
      <c r="AB37" s="5">
        <v>6.9444444444444447E-4</v>
      </c>
      <c r="AC37" s="5">
        <v>6.2500000000000003E-3</v>
      </c>
      <c r="AD37" s="5">
        <v>0</v>
      </c>
      <c r="AE37" s="5">
        <v>3.7499999999999999E-2</v>
      </c>
      <c r="AF37" s="5">
        <v>0</v>
      </c>
      <c r="AG37" s="5">
        <v>2.7777777777777779E-3</v>
      </c>
      <c r="AH37" s="5">
        <v>1.3888888888888889E-3</v>
      </c>
      <c r="AI37" s="2"/>
      <c r="AJ37" s="1">
        <v>2</v>
      </c>
      <c r="AK37" s="1">
        <f t="shared" si="0"/>
        <v>31</v>
      </c>
      <c r="AL37" s="10">
        <v>6.9444444444444441E-3</v>
      </c>
      <c r="AM37" s="1">
        <f t="shared" si="1"/>
        <v>7</v>
      </c>
      <c r="AN37" s="13">
        <f t="shared" si="2"/>
        <v>0.22580645161290322</v>
      </c>
      <c r="AO37" s="14">
        <f t="shared" si="3"/>
        <v>0</v>
      </c>
      <c r="AP37" s="1" t="s">
        <v>203</v>
      </c>
      <c r="AQ37" s="1" t="str">
        <f t="shared" si="11"/>
        <v>RICHARD PARIONA</v>
      </c>
      <c r="AR37" s="1">
        <f t="shared" si="4"/>
        <v>14</v>
      </c>
      <c r="AS37" s="1" t="str">
        <f t="shared" si="5"/>
        <v>PARIONA ROSAS</v>
      </c>
      <c r="AT37" s="1">
        <f t="shared" si="7"/>
        <v>8</v>
      </c>
      <c r="AU37" s="1" t="str">
        <f t="shared" si="8"/>
        <v>RICHARD</v>
      </c>
      <c r="AV37" s="1" t="e">
        <f t="shared" si="9"/>
        <v>#VALUE!</v>
      </c>
    </row>
    <row r="38" spans="1:48">
      <c r="A38" s="2" t="s">
        <v>144</v>
      </c>
      <c r="B38" s="2" t="s">
        <v>145</v>
      </c>
      <c r="C38" s="2" t="s">
        <v>146</v>
      </c>
      <c r="D38" s="5">
        <v>0</v>
      </c>
      <c r="E38" s="5">
        <v>1.2500000000000001E-2</v>
      </c>
      <c r="F38" s="5">
        <v>2.013888888888889E-2</v>
      </c>
      <c r="G38" s="5">
        <v>1.6666666666666666E-2</v>
      </c>
      <c r="H38" s="5">
        <v>1.3888888888888888E-2</v>
      </c>
      <c r="I38" s="5">
        <v>1.3888888888888889E-3</v>
      </c>
      <c r="J38" s="5">
        <v>9.7222222222222224E-3</v>
      </c>
      <c r="K38" s="5">
        <v>0</v>
      </c>
      <c r="L38" s="5">
        <v>0</v>
      </c>
      <c r="M38" s="5">
        <v>9.7222222222222224E-3</v>
      </c>
      <c r="N38" s="5">
        <v>1.4583333333333334E-2</v>
      </c>
      <c r="O38" s="5">
        <v>1.5277777777777777E-2</v>
      </c>
      <c r="P38" s="5">
        <v>1.8055555555555554E-2</v>
      </c>
      <c r="Q38" s="5">
        <v>9.7222222222222224E-3</v>
      </c>
      <c r="R38" s="5">
        <v>0</v>
      </c>
      <c r="S38" s="5">
        <v>0</v>
      </c>
      <c r="T38" s="5">
        <v>1.5972222222222221E-2</v>
      </c>
      <c r="U38" s="5">
        <v>3.2638888888888891E-2</v>
      </c>
      <c r="V38" s="5">
        <v>4.027777777777778E-2</v>
      </c>
      <c r="W38" s="5">
        <v>4.8611111111111112E-3</v>
      </c>
      <c r="X38" s="5">
        <v>1.8055555555555554E-2</v>
      </c>
      <c r="Y38" s="5">
        <v>0</v>
      </c>
      <c r="Z38" s="5">
        <v>1.5277777777777777E-2</v>
      </c>
      <c r="AA38" s="5">
        <v>1.9444444444444445E-2</v>
      </c>
      <c r="AB38" s="5">
        <v>2.9861111111111113E-2</v>
      </c>
      <c r="AC38" s="5">
        <v>1.1805555555555555E-2</v>
      </c>
      <c r="AD38" s="5">
        <v>7.6388888888888886E-3</v>
      </c>
      <c r="AE38" s="5">
        <v>9.7222222222222224E-3</v>
      </c>
      <c r="AF38" s="5">
        <v>0</v>
      </c>
      <c r="AG38" s="5">
        <v>1.1805555555555555E-2</v>
      </c>
      <c r="AH38" s="5">
        <v>3.888888888888889E-2</v>
      </c>
      <c r="AI38" s="2"/>
      <c r="AJ38" s="1">
        <v>2</v>
      </c>
      <c r="AK38" s="1">
        <f t="shared" si="0"/>
        <v>31</v>
      </c>
      <c r="AL38" s="10">
        <v>6.9444444444444441E-3</v>
      </c>
      <c r="AM38" s="1">
        <f t="shared" si="1"/>
        <v>22</v>
      </c>
      <c r="AN38" s="13">
        <f t="shared" si="2"/>
        <v>0.70967741935483875</v>
      </c>
      <c r="AO38" s="14">
        <f t="shared" si="3"/>
        <v>0</v>
      </c>
      <c r="AP38" s="1" t="str">
        <f>VLOOKUP(B38,Hoja3!$A$1:$B$14,2,0)</f>
        <v>CESADO</v>
      </c>
      <c r="AQ38" s="1" t="str">
        <f t="shared" si="6"/>
        <v>YAHAIRA GALINDO</v>
      </c>
      <c r="AR38" s="1">
        <f t="shared" si="4"/>
        <v>13</v>
      </c>
      <c r="AS38" s="1" t="str">
        <f t="shared" si="5"/>
        <v>GALINDO MERA</v>
      </c>
      <c r="AT38" s="1">
        <f t="shared" si="7"/>
        <v>8</v>
      </c>
      <c r="AU38" s="1" t="str">
        <f t="shared" si="8"/>
        <v>YAHAIRA LUZMILA</v>
      </c>
      <c r="AV38" s="1">
        <f t="shared" si="9"/>
        <v>8</v>
      </c>
    </row>
    <row r="39" spans="1:48">
      <c r="A39" s="2" t="s">
        <v>17</v>
      </c>
      <c r="B39" s="2" t="s">
        <v>18</v>
      </c>
      <c r="C39" s="2" t="s">
        <v>19</v>
      </c>
      <c r="D39" s="5">
        <v>0</v>
      </c>
      <c r="E39" s="5">
        <v>0</v>
      </c>
      <c r="F39" s="5">
        <v>0</v>
      </c>
      <c r="G39" s="5">
        <v>1.4583333333333334E-2</v>
      </c>
      <c r="H39" s="5">
        <v>6.2500000000000003E-3</v>
      </c>
      <c r="I39" s="5">
        <v>1.0416666666666666E-2</v>
      </c>
      <c r="J39" s="5">
        <v>3.472222222222222E-3</v>
      </c>
      <c r="K39" s="5">
        <v>0</v>
      </c>
      <c r="L39" s="5">
        <v>0</v>
      </c>
      <c r="M39" s="5">
        <v>7.6388888888888886E-3</v>
      </c>
      <c r="N39" s="5">
        <v>5.5555555555555558E-3</v>
      </c>
      <c r="O39" s="5">
        <v>0</v>
      </c>
      <c r="P39" s="5">
        <v>6.2500000000000003E-3</v>
      </c>
      <c r="Q39" s="5">
        <v>9.7222222222222224E-3</v>
      </c>
      <c r="R39" s="5">
        <v>0</v>
      </c>
      <c r="S39" s="2" t="s">
        <v>174</v>
      </c>
      <c r="T39" s="5">
        <v>0</v>
      </c>
      <c r="U39" s="5">
        <v>2.0833333333333333E-3</v>
      </c>
      <c r="V39" s="5">
        <v>2.7777777777777779E-3</v>
      </c>
      <c r="W39" s="5">
        <v>8.3333333333333332E-3</v>
      </c>
      <c r="X39" s="5">
        <v>0</v>
      </c>
      <c r="Y39" s="5">
        <v>0</v>
      </c>
      <c r="Z39" s="5">
        <v>0</v>
      </c>
      <c r="AA39" s="5">
        <v>1.5277777777777777E-2</v>
      </c>
      <c r="AB39" s="5">
        <v>4.8611111111111112E-3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1.3888888888888889E-3</v>
      </c>
      <c r="AI39" s="2"/>
      <c r="AJ39" s="1">
        <v>2</v>
      </c>
      <c r="AK39" s="1">
        <f t="shared" si="0"/>
        <v>31</v>
      </c>
      <c r="AL39" s="10">
        <v>6.9444444444444441E-3</v>
      </c>
      <c r="AM39" s="1">
        <f t="shared" si="1"/>
        <v>6</v>
      </c>
      <c r="AN39" s="13">
        <f t="shared" si="2"/>
        <v>0.19354838709677419</v>
      </c>
      <c r="AO39" s="14">
        <f t="shared" si="3"/>
        <v>0</v>
      </c>
      <c r="AP39" s="1" t="s">
        <v>203</v>
      </c>
      <c r="AQ39" s="1" t="str">
        <f t="shared" si="6"/>
        <v>STEPHEN LLANOS</v>
      </c>
      <c r="AR39" s="1">
        <f t="shared" si="4"/>
        <v>16</v>
      </c>
      <c r="AS39" s="1" t="str">
        <f t="shared" si="5"/>
        <v>LLANOS ANTAURCO</v>
      </c>
      <c r="AT39" s="1">
        <f t="shared" si="7"/>
        <v>7</v>
      </c>
      <c r="AU39" s="1" t="str">
        <f t="shared" si="8"/>
        <v>STEPHEN BORIS</v>
      </c>
      <c r="AV39" s="1">
        <f t="shared" si="9"/>
        <v>8</v>
      </c>
    </row>
    <row r="40" spans="1:48">
      <c r="A40" s="2" t="s">
        <v>20</v>
      </c>
      <c r="B40" s="2" t="s">
        <v>21</v>
      </c>
      <c r="C40" s="2" t="s">
        <v>22</v>
      </c>
      <c r="D40" s="5">
        <v>0</v>
      </c>
      <c r="E40" s="5">
        <v>1.5972222222222221E-2</v>
      </c>
      <c r="F40" s="5">
        <v>1.8749999999999999E-2</v>
      </c>
      <c r="G40" s="5">
        <v>1.9444444444444445E-2</v>
      </c>
      <c r="H40" s="5">
        <v>1.2500000000000001E-2</v>
      </c>
      <c r="I40" s="5">
        <v>2.1527777777777778E-2</v>
      </c>
      <c r="J40" s="5">
        <v>8.3333333333333332E-3</v>
      </c>
      <c r="K40" s="5">
        <v>0</v>
      </c>
      <c r="L40" s="5">
        <v>2.8472222222222222E-2</v>
      </c>
      <c r="M40" s="5">
        <v>9.0277777777777769E-3</v>
      </c>
      <c r="N40" s="5">
        <v>2.0833333333333332E-2</v>
      </c>
      <c r="O40" s="5">
        <v>1.3194444444444444E-2</v>
      </c>
      <c r="P40" s="5">
        <v>1.9444444444444445E-2</v>
      </c>
      <c r="Q40" s="5">
        <v>2.2916666666666665E-2</v>
      </c>
      <c r="R40" s="5">
        <v>0</v>
      </c>
      <c r="S40" s="5">
        <v>2.7777777777777779E-3</v>
      </c>
      <c r="T40" s="5">
        <v>2.2916666666666665E-2</v>
      </c>
      <c r="U40" s="5">
        <v>2.9166666666666667E-2</v>
      </c>
      <c r="V40" s="5">
        <v>2.1527777777777778E-2</v>
      </c>
      <c r="W40" s="5">
        <v>2.0833333333333332E-2</v>
      </c>
      <c r="X40" s="5">
        <v>2.9166666666666667E-2</v>
      </c>
      <c r="Y40" s="5">
        <v>0</v>
      </c>
      <c r="Z40" s="5">
        <v>2.0833333333333332E-2</v>
      </c>
      <c r="AA40" s="5">
        <v>1.3194444444444444E-2</v>
      </c>
      <c r="AB40" s="5">
        <v>2.5000000000000001E-2</v>
      </c>
      <c r="AC40" s="5">
        <v>1.6666666666666666E-2</v>
      </c>
      <c r="AD40" s="5">
        <v>1.6666666666666666E-2</v>
      </c>
      <c r="AE40" s="5">
        <v>2.0833333333333332E-2</v>
      </c>
      <c r="AF40" s="5">
        <v>0</v>
      </c>
      <c r="AG40" s="5">
        <v>2.0833333333333332E-2</v>
      </c>
      <c r="AH40" s="5">
        <v>2.7083333333333334E-2</v>
      </c>
      <c r="AI40" s="2"/>
      <c r="AJ40" s="1">
        <v>2</v>
      </c>
      <c r="AK40" s="1">
        <f t="shared" si="0"/>
        <v>31</v>
      </c>
      <c r="AL40" s="10">
        <v>6.9444444444444441E-3</v>
      </c>
      <c r="AM40" s="1">
        <f t="shared" si="1"/>
        <v>25</v>
      </c>
      <c r="AN40" s="13">
        <f t="shared" si="2"/>
        <v>0.80645161290322576</v>
      </c>
      <c r="AO40" s="14">
        <f t="shared" si="3"/>
        <v>0</v>
      </c>
      <c r="AP40" s="1" t="s">
        <v>203</v>
      </c>
      <c r="AQ40" s="1" t="str">
        <f t="shared" si="6"/>
        <v>LUZ CCAMA</v>
      </c>
      <c r="AR40" s="1">
        <f t="shared" si="4"/>
        <v>12</v>
      </c>
      <c r="AS40" s="1" t="str">
        <f t="shared" si="5"/>
        <v>CCAMA ARONI</v>
      </c>
      <c r="AT40" s="1">
        <f t="shared" si="7"/>
        <v>6</v>
      </c>
      <c r="AU40" s="1" t="str">
        <f t="shared" si="8"/>
        <v>LUZ MIRELLA</v>
      </c>
      <c r="AV40" s="1">
        <f t="shared" si="9"/>
        <v>4</v>
      </c>
    </row>
    <row r="41" spans="1:48">
      <c r="A41" s="2" t="s">
        <v>23</v>
      </c>
      <c r="B41" s="2" t="s">
        <v>24</v>
      </c>
      <c r="C41" s="2" t="s">
        <v>25</v>
      </c>
      <c r="D41" s="5">
        <v>0</v>
      </c>
      <c r="E41" s="5">
        <v>1.8749999999999999E-2</v>
      </c>
      <c r="F41" s="5">
        <v>2.0833333333333333E-3</v>
      </c>
      <c r="G41" s="5">
        <v>2.0833333333333332E-2</v>
      </c>
      <c r="H41" s="5">
        <v>1.6666666666666666E-2</v>
      </c>
      <c r="I41" s="5">
        <v>3.125E-2</v>
      </c>
      <c r="J41" s="5">
        <v>1.4583333333333334E-2</v>
      </c>
      <c r="K41" s="5">
        <v>0</v>
      </c>
      <c r="L41" s="5">
        <v>1.3194444444444444E-2</v>
      </c>
      <c r="M41" s="5">
        <v>2.013888888888889E-2</v>
      </c>
      <c r="N41" s="5">
        <v>1.3888888888888888E-2</v>
      </c>
      <c r="O41" s="5">
        <v>2.5694444444444443E-2</v>
      </c>
      <c r="P41" s="5">
        <v>1.0416666666666666E-2</v>
      </c>
      <c r="Q41" s="5">
        <v>1.4583333333333334E-2</v>
      </c>
      <c r="R41" s="5">
        <v>0</v>
      </c>
      <c r="S41" s="5">
        <v>1.0416666666666666E-2</v>
      </c>
      <c r="T41" s="5">
        <v>2.0833333333333332E-2</v>
      </c>
      <c r="U41" s="5">
        <v>2.0833333333333332E-2</v>
      </c>
      <c r="V41" s="5">
        <v>1.5972222222222221E-2</v>
      </c>
      <c r="W41" s="5">
        <v>2.9861111111111113E-2</v>
      </c>
      <c r="X41" s="5">
        <v>1.3888888888888888E-2</v>
      </c>
      <c r="Y41" s="5">
        <v>0</v>
      </c>
      <c r="Z41" s="5">
        <v>1.0416666666666666E-2</v>
      </c>
      <c r="AA41" s="5">
        <v>1.4583333333333334E-2</v>
      </c>
      <c r="AB41" s="5">
        <v>2.2916666666666665E-2</v>
      </c>
      <c r="AC41" s="5">
        <v>2.0833333333333332E-2</v>
      </c>
      <c r="AD41" s="5">
        <v>6.9444444444444441E-3</v>
      </c>
      <c r="AE41" s="5">
        <v>9.7222222222222224E-3</v>
      </c>
      <c r="AF41" s="5">
        <v>0</v>
      </c>
      <c r="AG41" s="5">
        <v>1.6666666666666666E-2</v>
      </c>
      <c r="AH41" s="5">
        <v>2.0833333333333332E-2</v>
      </c>
      <c r="AI41" s="2"/>
      <c r="AJ41" s="1">
        <v>2</v>
      </c>
      <c r="AK41" s="1">
        <f t="shared" si="0"/>
        <v>31</v>
      </c>
      <c r="AL41" s="10">
        <v>6.9444444444444441E-3</v>
      </c>
      <c r="AM41" s="1">
        <f t="shared" si="1"/>
        <v>24</v>
      </c>
      <c r="AN41" s="13">
        <f t="shared" si="2"/>
        <v>0.77419354838709675</v>
      </c>
      <c r="AO41" s="14">
        <f t="shared" si="3"/>
        <v>0</v>
      </c>
      <c r="AP41" s="1" t="s">
        <v>201</v>
      </c>
      <c r="AQ41" s="1" t="str">
        <f t="shared" si="6"/>
        <v>ANDREA CAYCHO</v>
      </c>
      <c r="AR41" s="1">
        <f t="shared" si="4"/>
        <v>14</v>
      </c>
      <c r="AS41" s="1" t="str">
        <f t="shared" si="5"/>
        <v>CAYCHO HUANCA</v>
      </c>
      <c r="AT41" s="1">
        <f t="shared" si="7"/>
        <v>7</v>
      </c>
      <c r="AU41" s="1" t="str">
        <f t="shared" si="8"/>
        <v>ANDREA ALESSANDRA</v>
      </c>
      <c r="AV41" s="1">
        <f t="shared" si="9"/>
        <v>7</v>
      </c>
    </row>
    <row r="42" spans="1:48">
      <c r="A42" s="2" t="s">
        <v>106</v>
      </c>
      <c r="B42" s="2" t="s">
        <v>107</v>
      </c>
      <c r="C42" s="2" t="s">
        <v>108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3.472222222222222E-3</v>
      </c>
      <c r="U42" s="5">
        <v>5.5555555555555558E-3</v>
      </c>
      <c r="V42" s="5">
        <v>0</v>
      </c>
      <c r="W42" s="5">
        <v>0</v>
      </c>
      <c r="X42" s="5">
        <v>0</v>
      </c>
      <c r="Y42" s="5">
        <v>0</v>
      </c>
      <c r="Z42" s="2" t="s">
        <v>49</v>
      </c>
      <c r="AA42" s="2" t="s">
        <v>49</v>
      </c>
      <c r="AB42" s="5">
        <v>0</v>
      </c>
      <c r="AC42" s="5">
        <v>0</v>
      </c>
      <c r="AD42" s="2" t="s">
        <v>49</v>
      </c>
      <c r="AE42" s="5">
        <v>0</v>
      </c>
      <c r="AF42" s="5">
        <v>0</v>
      </c>
      <c r="AG42" s="5">
        <v>0</v>
      </c>
      <c r="AH42" s="5">
        <v>0</v>
      </c>
      <c r="AI42" s="2"/>
      <c r="AJ42" s="1">
        <v>2</v>
      </c>
      <c r="AK42" s="1">
        <f t="shared" si="0"/>
        <v>31</v>
      </c>
      <c r="AL42" s="10">
        <v>6.9444444444444441E-3</v>
      </c>
      <c r="AM42" s="1">
        <f t="shared" si="1"/>
        <v>0</v>
      </c>
      <c r="AN42" s="13">
        <f t="shared" si="2"/>
        <v>0</v>
      </c>
      <c r="AO42" s="14">
        <f t="shared" si="3"/>
        <v>3</v>
      </c>
      <c r="AP42" s="1" t="str">
        <f>VLOOKUP(B42,Hoja3!$A$1:$B$14,2,0)</f>
        <v>CESADO</v>
      </c>
      <c r="AQ42" s="1" t="str">
        <f t="shared" si="6"/>
        <v>ROCIO PAREDES</v>
      </c>
      <c r="AR42" s="1">
        <f t="shared" si="4"/>
        <v>16</v>
      </c>
      <c r="AS42" s="1" t="str">
        <f t="shared" si="5"/>
        <v>PAREDES GUILLEN</v>
      </c>
      <c r="AT42" s="1">
        <f t="shared" si="7"/>
        <v>8</v>
      </c>
      <c r="AU42" s="1" t="str">
        <f t="shared" si="8"/>
        <v>ROCIO NOEMI</v>
      </c>
      <c r="AV42" s="1">
        <f t="shared" si="9"/>
        <v>6</v>
      </c>
    </row>
    <row r="43" spans="1:48">
      <c r="A43" s="2" t="s">
        <v>148</v>
      </c>
      <c r="B43" s="2" t="s">
        <v>149</v>
      </c>
      <c r="C43" s="2" t="s">
        <v>150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1.3888888888888889E-3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6.9444444444444447E-4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1.3888888888888889E-3</v>
      </c>
      <c r="AF43" s="5">
        <v>0</v>
      </c>
      <c r="AG43" s="5">
        <v>9.0277777777777769E-3</v>
      </c>
      <c r="AH43" s="5">
        <v>0</v>
      </c>
      <c r="AI43" s="2"/>
      <c r="AJ43" s="1">
        <v>2</v>
      </c>
      <c r="AK43" s="1">
        <f t="shared" si="0"/>
        <v>31</v>
      </c>
      <c r="AL43" s="10">
        <v>6.9444444444444441E-3</v>
      </c>
      <c r="AM43" s="1">
        <f t="shared" si="1"/>
        <v>1</v>
      </c>
      <c r="AN43" s="13">
        <f t="shared" si="2"/>
        <v>3.2258064516129031E-2</v>
      </c>
      <c r="AO43" s="14">
        <f t="shared" si="3"/>
        <v>0</v>
      </c>
      <c r="AP43" s="1" t="str">
        <f>VLOOKUP(B43,Hoja3!$A$1:$B$14,2,0)</f>
        <v>CESADO</v>
      </c>
      <c r="AQ43" s="1" t="str">
        <f>CONCATENATE(AU43," ",(MID(AS43,1,AT43-1)))</f>
        <v>ROGELIO GUEVARA</v>
      </c>
      <c r="AR43" s="1">
        <f t="shared" si="4"/>
        <v>17</v>
      </c>
      <c r="AS43" s="1" t="str">
        <f t="shared" si="5"/>
        <v>GUEVARA ENRIQUEZ</v>
      </c>
      <c r="AT43" s="1">
        <f t="shared" si="7"/>
        <v>8</v>
      </c>
      <c r="AU43" s="1" t="str">
        <f t="shared" si="8"/>
        <v>ROGELIO</v>
      </c>
      <c r="AV43" s="1" t="e">
        <f t="shared" si="9"/>
        <v>#VALUE!</v>
      </c>
    </row>
    <row r="44" spans="1:48">
      <c r="A44" s="2" t="s">
        <v>151</v>
      </c>
      <c r="B44" s="2" t="s">
        <v>152</v>
      </c>
      <c r="C44" s="2" t="s">
        <v>153</v>
      </c>
      <c r="D44" s="5">
        <v>0</v>
      </c>
      <c r="E44" s="5">
        <v>1.3194444444444444E-2</v>
      </c>
      <c r="F44" s="5">
        <v>0</v>
      </c>
      <c r="G44" s="5">
        <v>0</v>
      </c>
      <c r="H44" s="5">
        <v>9.7222222222222224E-3</v>
      </c>
      <c r="I44" s="5">
        <v>0</v>
      </c>
      <c r="J44" s="5">
        <v>8.3333333333333332E-3</v>
      </c>
      <c r="K44" s="5">
        <v>0</v>
      </c>
      <c r="L44" s="5">
        <v>2.2916666666666665E-2</v>
      </c>
      <c r="M44" s="5">
        <v>9.0277777777777769E-3</v>
      </c>
      <c r="N44" s="5">
        <v>1.4583333333333334E-2</v>
      </c>
      <c r="O44" s="5">
        <v>3.8194444444444448E-2</v>
      </c>
      <c r="P44" s="2" t="s">
        <v>114</v>
      </c>
      <c r="Q44" s="5">
        <v>6.2500000000000003E-3</v>
      </c>
      <c r="R44" s="5">
        <v>0</v>
      </c>
      <c r="S44" s="2" t="s">
        <v>104</v>
      </c>
      <c r="T44" s="5">
        <v>2.013888888888889E-2</v>
      </c>
      <c r="U44" s="5">
        <v>6.2500000000000003E-3</v>
      </c>
      <c r="V44" s="5">
        <v>2.4305555555555556E-2</v>
      </c>
      <c r="W44" s="5">
        <v>3.0555555555555555E-2</v>
      </c>
      <c r="X44" s="5">
        <v>4.8611111111111112E-3</v>
      </c>
      <c r="Y44" s="5">
        <v>0</v>
      </c>
      <c r="Z44" s="5">
        <v>4.8611111111111112E-3</v>
      </c>
      <c r="AA44" s="5">
        <v>2.8472222222222222E-2</v>
      </c>
      <c r="AB44" s="5">
        <v>3.125E-2</v>
      </c>
      <c r="AC44" s="5">
        <v>2.2916666666666665E-2</v>
      </c>
      <c r="AD44" s="5">
        <v>2.361111111111111E-2</v>
      </c>
      <c r="AE44" s="5">
        <v>1.9444444444444445E-2</v>
      </c>
      <c r="AF44" s="5">
        <v>0</v>
      </c>
      <c r="AG44" s="5">
        <v>2.5694444444444443E-2</v>
      </c>
      <c r="AH44" s="5">
        <v>1.6666666666666666E-2</v>
      </c>
      <c r="AI44" s="2"/>
      <c r="AJ44" s="1">
        <v>2</v>
      </c>
      <c r="AK44" s="1">
        <f t="shared" si="0"/>
        <v>31</v>
      </c>
      <c r="AL44" s="10">
        <v>6.9444444444444441E-3</v>
      </c>
      <c r="AM44" s="1">
        <f t="shared" si="1"/>
        <v>17</v>
      </c>
      <c r="AN44" s="13">
        <f t="shared" si="2"/>
        <v>0.54838709677419351</v>
      </c>
      <c r="AO44" s="14">
        <f t="shared" si="3"/>
        <v>0</v>
      </c>
      <c r="AP44" s="1" t="str">
        <f>VLOOKUP(B44,Hoja3!$A$1:$B$14,2,0)</f>
        <v>CESADO</v>
      </c>
      <c r="AQ44" s="1" t="str">
        <f t="shared" si="6"/>
        <v>SILVIA ASIAN</v>
      </c>
      <c r="AR44" s="1">
        <f t="shared" si="4"/>
        <v>14</v>
      </c>
      <c r="AS44" s="1" t="str">
        <f t="shared" si="5"/>
        <v>ASIAN RAMIREZ</v>
      </c>
      <c r="AT44" s="1">
        <f t="shared" si="7"/>
        <v>6</v>
      </c>
      <c r="AU44" s="1" t="str">
        <f t="shared" si="8"/>
        <v>SILVIA LARITZA</v>
      </c>
      <c r="AV44" s="1">
        <f t="shared" si="9"/>
        <v>7</v>
      </c>
    </row>
    <row r="45" spans="1:48">
      <c r="A45" s="2" t="s">
        <v>26</v>
      </c>
      <c r="B45" s="2" t="s">
        <v>27</v>
      </c>
      <c r="C45" s="2" t="s">
        <v>28</v>
      </c>
      <c r="D45" s="5">
        <v>0</v>
      </c>
      <c r="E45" s="5">
        <v>1.8055555555555554E-2</v>
      </c>
      <c r="F45" s="5">
        <v>1.5277777777777777E-2</v>
      </c>
      <c r="G45" s="5">
        <v>2.7777777777777776E-2</v>
      </c>
      <c r="H45" s="5">
        <v>1.5277777777777777E-2</v>
      </c>
      <c r="I45" s="5">
        <v>2.5694444444444443E-2</v>
      </c>
      <c r="J45" s="5">
        <v>1.3888888888888888E-2</v>
      </c>
      <c r="K45" s="5">
        <v>0</v>
      </c>
      <c r="L45" s="5">
        <v>1.6666666666666666E-2</v>
      </c>
      <c r="M45" s="5">
        <v>2.2916666666666665E-2</v>
      </c>
      <c r="N45" s="5">
        <v>2.8472222222222222E-2</v>
      </c>
      <c r="O45" s="5">
        <v>0</v>
      </c>
      <c r="P45" s="5">
        <v>1.2500000000000001E-2</v>
      </c>
      <c r="Q45" s="5">
        <v>1.4583333333333334E-2</v>
      </c>
      <c r="R45" s="5">
        <v>0</v>
      </c>
      <c r="S45" s="5">
        <v>1.9444444444444445E-2</v>
      </c>
      <c r="T45" s="5">
        <v>2.0833333333333332E-2</v>
      </c>
      <c r="U45" s="5">
        <v>1.3888888888888888E-2</v>
      </c>
      <c r="V45" s="5">
        <v>1.5972222222222221E-2</v>
      </c>
      <c r="W45" s="5">
        <v>1.9444444444444445E-2</v>
      </c>
      <c r="X45" s="5">
        <v>1.5972222222222221E-2</v>
      </c>
      <c r="Y45" s="5">
        <v>0</v>
      </c>
      <c r="Z45" s="5">
        <v>2.0833333333333332E-2</v>
      </c>
      <c r="AA45" s="5">
        <v>1.9444444444444445E-2</v>
      </c>
      <c r="AB45" s="5">
        <v>1.6666666666666666E-2</v>
      </c>
      <c r="AC45" s="5">
        <v>1.9444444444444445E-2</v>
      </c>
      <c r="AD45" s="5">
        <v>2.361111111111111E-2</v>
      </c>
      <c r="AE45" s="5">
        <v>1.1111111111111112E-2</v>
      </c>
      <c r="AF45" s="5">
        <v>0</v>
      </c>
      <c r="AG45" s="5">
        <v>0</v>
      </c>
      <c r="AH45" s="5">
        <v>2.5000000000000001E-2</v>
      </c>
      <c r="AI45" s="2"/>
      <c r="AJ45" s="1">
        <v>2</v>
      </c>
      <c r="AK45" s="1">
        <f t="shared" ref="AK45:AK108" si="12">COUNTA(D45:AI45)</f>
        <v>31</v>
      </c>
      <c r="AL45" s="10">
        <v>6.9444444444444441E-3</v>
      </c>
      <c r="AM45" s="1">
        <f t="shared" si="1"/>
        <v>24</v>
      </c>
      <c r="AN45" s="13">
        <f t="shared" ref="AN45:AN108" si="13">+AM45/AK45</f>
        <v>0.77419354838709675</v>
      </c>
      <c r="AO45" s="14">
        <f t="shared" ref="AO45:AO108" si="14">COUNTIF(D45:AI45,"F")</f>
        <v>0</v>
      </c>
      <c r="AP45" s="1" t="s">
        <v>201</v>
      </c>
      <c r="AQ45" s="1" t="str">
        <f t="shared" si="6"/>
        <v>ANGELICA PRETELL</v>
      </c>
      <c r="AR45" s="1">
        <f t="shared" si="4"/>
        <v>16</v>
      </c>
      <c r="AS45" s="1" t="str">
        <f t="shared" si="5"/>
        <v>PRETELL PINTADO</v>
      </c>
      <c r="AT45" s="1">
        <f t="shared" si="7"/>
        <v>8</v>
      </c>
      <c r="AU45" s="1" t="str">
        <f t="shared" si="8"/>
        <v>ANGELICA DIANA</v>
      </c>
      <c r="AV45" s="1">
        <f t="shared" si="9"/>
        <v>9</v>
      </c>
    </row>
    <row r="46" spans="1:48">
      <c r="A46" s="2" t="s">
        <v>154</v>
      </c>
      <c r="B46" s="2" t="s">
        <v>155</v>
      </c>
      <c r="C46" s="2" t="s">
        <v>156</v>
      </c>
      <c r="D46" s="5">
        <v>0</v>
      </c>
      <c r="E46" s="5">
        <v>2.4305555555555556E-2</v>
      </c>
      <c r="F46" s="2" t="s">
        <v>49</v>
      </c>
      <c r="G46" s="2" t="s">
        <v>49</v>
      </c>
      <c r="H46" s="2" t="s">
        <v>49</v>
      </c>
      <c r="I46" s="2" t="s">
        <v>49</v>
      </c>
      <c r="J46" s="5">
        <v>0</v>
      </c>
      <c r="K46" s="5">
        <v>0</v>
      </c>
      <c r="L46" s="5">
        <v>1.5277777777777777E-2</v>
      </c>
      <c r="M46" s="5">
        <v>1.9444444444444445E-2</v>
      </c>
      <c r="N46" s="2" t="s">
        <v>103</v>
      </c>
      <c r="O46" s="5">
        <v>0</v>
      </c>
      <c r="P46" s="5">
        <v>1.9444444444444445E-2</v>
      </c>
      <c r="Q46" s="5">
        <v>6.9444444444444441E-3</v>
      </c>
      <c r="R46" s="5">
        <v>0</v>
      </c>
      <c r="S46" s="5">
        <v>0</v>
      </c>
      <c r="T46" s="5">
        <v>2.9861111111111113E-2</v>
      </c>
      <c r="U46" s="5">
        <v>9.0277777777777769E-3</v>
      </c>
      <c r="V46" s="5">
        <v>2.4305555555555556E-2</v>
      </c>
      <c r="W46" s="5">
        <v>3.472222222222222E-3</v>
      </c>
      <c r="X46" s="5">
        <v>0</v>
      </c>
      <c r="Y46" s="5">
        <v>0</v>
      </c>
      <c r="Z46" s="5">
        <v>1.0416666666666666E-2</v>
      </c>
      <c r="AA46" s="2" t="s">
        <v>128</v>
      </c>
      <c r="AB46" s="2" t="s">
        <v>49</v>
      </c>
      <c r="AC46" s="2" t="s">
        <v>49</v>
      </c>
      <c r="AD46" s="2" t="s">
        <v>49</v>
      </c>
      <c r="AE46" s="2" t="s">
        <v>49</v>
      </c>
      <c r="AF46" s="5">
        <v>0</v>
      </c>
      <c r="AG46" s="2" t="s">
        <v>49</v>
      </c>
      <c r="AH46" s="2" t="s">
        <v>49</v>
      </c>
      <c r="AI46" s="2"/>
      <c r="AJ46" s="1">
        <v>2</v>
      </c>
      <c r="AK46" s="1">
        <f t="shared" si="12"/>
        <v>31</v>
      </c>
      <c r="AL46" s="10">
        <v>6.9444444444444441E-3</v>
      </c>
      <c r="AM46" s="1">
        <f t="shared" si="1"/>
        <v>8</v>
      </c>
      <c r="AN46" s="13">
        <f t="shared" si="13"/>
        <v>0.25806451612903225</v>
      </c>
      <c r="AO46" s="14">
        <f t="shared" si="14"/>
        <v>10</v>
      </c>
      <c r="AP46" s="1" t="str">
        <f>VLOOKUP(B46,Hoja3!$A$1:$B$14,2,0)</f>
        <v>CESADO</v>
      </c>
      <c r="AQ46" s="1" t="str">
        <f t="shared" si="6"/>
        <v>SAMANTHA TENORIO</v>
      </c>
      <c r="AR46" s="1">
        <f t="shared" si="4"/>
        <v>14</v>
      </c>
      <c r="AS46" s="1" t="str">
        <f t="shared" si="5"/>
        <v>TENORIO FELIX</v>
      </c>
      <c r="AT46" s="1">
        <f t="shared" si="7"/>
        <v>8</v>
      </c>
      <c r="AU46" s="1" t="str">
        <f t="shared" si="8"/>
        <v>SAMANTHA NICOLLE</v>
      </c>
      <c r="AV46" s="1">
        <f t="shared" si="9"/>
        <v>9</v>
      </c>
    </row>
    <row r="47" spans="1:48">
      <c r="A47" s="2" t="s">
        <v>29</v>
      </c>
      <c r="B47" s="2" t="s">
        <v>30</v>
      </c>
      <c r="C47" s="2" t="s">
        <v>31</v>
      </c>
      <c r="D47" s="5">
        <v>0</v>
      </c>
      <c r="E47" s="5">
        <v>4.1666666666666666E-3</v>
      </c>
      <c r="F47" s="5">
        <v>0</v>
      </c>
      <c r="G47" s="5">
        <v>2.5694444444444443E-2</v>
      </c>
      <c r="H47" s="2" t="s">
        <v>116</v>
      </c>
      <c r="I47" s="5">
        <v>0</v>
      </c>
      <c r="J47" s="5">
        <v>1.1111111111111112E-2</v>
      </c>
      <c r="K47" s="5">
        <v>0</v>
      </c>
      <c r="L47" s="5">
        <v>2.2916666666666665E-2</v>
      </c>
      <c r="M47" s="5">
        <v>0</v>
      </c>
      <c r="N47" s="5">
        <v>9.0277777777777769E-3</v>
      </c>
      <c r="O47" s="2" t="s">
        <v>104</v>
      </c>
      <c r="P47" s="5">
        <v>8.3333333333333332E-3</v>
      </c>
      <c r="Q47" s="5">
        <v>1.0416666666666666E-2</v>
      </c>
      <c r="R47" s="5">
        <v>0</v>
      </c>
      <c r="S47" s="5">
        <v>3.472222222222222E-3</v>
      </c>
      <c r="T47" s="5">
        <v>0</v>
      </c>
      <c r="U47" s="5">
        <v>2.7777777777777779E-3</v>
      </c>
      <c r="V47" s="5">
        <v>0</v>
      </c>
      <c r="W47" s="5">
        <v>4.1666666666666666E-3</v>
      </c>
      <c r="X47" s="5">
        <v>1.0416666666666666E-2</v>
      </c>
      <c r="Y47" s="5">
        <v>0</v>
      </c>
      <c r="Z47" s="5">
        <v>0</v>
      </c>
      <c r="AA47" s="5">
        <v>1.1111111111111112E-2</v>
      </c>
      <c r="AB47" s="5">
        <v>4.8611111111111112E-3</v>
      </c>
      <c r="AC47" s="5">
        <v>1.0416666666666666E-2</v>
      </c>
      <c r="AD47" s="5">
        <v>2.0833333333333333E-3</v>
      </c>
      <c r="AE47" s="5">
        <v>0</v>
      </c>
      <c r="AF47" s="5">
        <v>0</v>
      </c>
      <c r="AG47" s="5">
        <v>1.5972222222222221E-2</v>
      </c>
      <c r="AH47" s="5">
        <v>2.7083333333333334E-2</v>
      </c>
      <c r="AI47" s="2"/>
      <c r="AJ47" s="1">
        <v>2</v>
      </c>
      <c r="AK47" s="1">
        <f t="shared" si="12"/>
        <v>31</v>
      </c>
      <c r="AL47" s="10">
        <v>6.9444444444444441E-3</v>
      </c>
      <c r="AM47" s="1">
        <f t="shared" si="1"/>
        <v>11</v>
      </c>
      <c r="AN47" s="13">
        <f t="shared" si="13"/>
        <v>0.35483870967741937</v>
      </c>
      <c r="AO47" s="14">
        <f t="shared" si="14"/>
        <v>0</v>
      </c>
      <c r="AP47" s="1" t="s">
        <v>203</v>
      </c>
      <c r="AQ47" s="1" t="str">
        <f t="shared" si="6"/>
        <v>CARLOS LOPEZ</v>
      </c>
      <c r="AR47" s="1">
        <f t="shared" si="4"/>
        <v>13</v>
      </c>
      <c r="AS47" s="1" t="str">
        <f t="shared" si="5"/>
        <v>LOPEZ FARIAS</v>
      </c>
      <c r="AT47" s="1">
        <f t="shared" si="7"/>
        <v>6</v>
      </c>
      <c r="AU47" s="1" t="str">
        <f t="shared" si="8"/>
        <v>CARLOS JOAQUIN</v>
      </c>
      <c r="AV47" s="1">
        <f t="shared" si="9"/>
        <v>7</v>
      </c>
    </row>
    <row r="48" spans="1:48">
      <c r="A48" s="2" t="s">
        <v>130</v>
      </c>
      <c r="B48" s="2" t="s">
        <v>131</v>
      </c>
      <c r="C48" s="2" t="s">
        <v>132</v>
      </c>
      <c r="D48" s="5">
        <v>0</v>
      </c>
      <c r="E48" s="2" t="s">
        <v>175</v>
      </c>
      <c r="F48" s="5">
        <v>2.0833333333333333E-3</v>
      </c>
      <c r="G48" s="5">
        <v>1.5277777777777777E-2</v>
      </c>
      <c r="H48" s="5">
        <v>6.2500000000000003E-3</v>
      </c>
      <c r="I48" s="5">
        <v>3.125E-2</v>
      </c>
      <c r="J48" s="5">
        <v>3.9583333333333331E-2</v>
      </c>
      <c r="K48" s="5">
        <v>0</v>
      </c>
      <c r="L48" s="5">
        <v>4.8611111111111112E-3</v>
      </c>
      <c r="M48" s="5">
        <v>2.0833333333333332E-2</v>
      </c>
      <c r="N48" s="5">
        <v>1.1111111111111112E-2</v>
      </c>
      <c r="O48" s="5">
        <v>2.5694444444444443E-2</v>
      </c>
      <c r="P48" s="5">
        <v>2.361111111111111E-2</v>
      </c>
      <c r="Q48" s="5">
        <v>1.4583333333333334E-2</v>
      </c>
      <c r="R48" s="5">
        <v>0</v>
      </c>
      <c r="S48" s="5">
        <v>4.8611111111111112E-3</v>
      </c>
      <c r="T48" s="5">
        <v>1.8055555555555554E-2</v>
      </c>
      <c r="U48" s="5">
        <v>2.5000000000000001E-2</v>
      </c>
      <c r="V48" s="5">
        <v>2.5000000000000001E-2</v>
      </c>
      <c r="W48" s="5">
        <v>3.1944444444444442E-2</v>
      </c>
      <c r="X48" s="5">
        <v>3.0555555555555555E-2</v>
      </c>
      <c r="Y48" s="5">
        <v>0</v>
      </c>
      <c r="Z48" s="5">
        <v>1.1111111111111112E-2</v>
      </c>
      <c r="AA48" s="2" t="s">
        <v>49</v>
      </c>
      <c r="AB48" s="2" t="s">
        <v>49</v>
      </c>
      <c r="AC48" s="2" t="s">
        <v>49</v>
      </c>
      <c r="AD48" s="2" t="s">
        <v>49</v>
      </c>
      <c r="AE48" s="2" t="s">
        <v>49</v>
      </c>
      <c r="AF48" s="5">
        <v>0</v>
      </c>
      <c r="AG48" s="2" t="s">
        <v>49</v>
      </c>
      <c r="AH48" s="2" t="s">
        <v>49</v>
      </c>
      <c r="AI48" s="2"/>
      <c r="AJ48" s="1">
        <v>2</v>
      </c>
      <c r="AK48" s="1">
        <f t="shared" si="12"/>
        <v>31</v>
      </c>
      <c r="AL48" s="10">
        <v>6.9444444444444441E-3</v>
      </c>
      <c r="AM48" s="1">
        <f t="shared" si="1"/>
        <v>14</v>
      </c>
      <c r="AN48" s="13">
        <f t="shared" si="13"/>
        <v>0.45161290322580644</v>
      </c>
      <c r="AO48" s="14">
        <f t="shared" si="14"/>
        <v>7</v>
      </c>
      <c r="AP48" s="1" t="str">
        <f>VLOOKUP(B48,Hoja3!$A$1:$B$14,2,0)</f>
        <v>CESADO</v>
      </c>
      <c r="AQ48" s="1" t="str">
        <f t="shared" si="6"/>
        <v>JEFFERSON LOPEZ</v>
      </c>
      <c r="AR48" s="1">
        <f t="shared" si="4"/>
        <v>11</v>
      </c>
      <c r="AS48" s="1" t="str">
        <f t="shared" si="5"/>
        <v>LOPEZ CRUZ</v>
      </c>
      <c r="AT48" s="1">
        <f t="shared" si="7"/>
        <v>6</v>
      </c>
      <c r="AU48" s="1" t="str">
        <f t="shared" si="8"/>
        <v>JEFFERSON NORMAN</v>
      </c>
      <c r="AV48" s="1">
        <f t="shared" si="9"/>
        <v>10</v>
      </c>
    </row>
    <row r="49" spans="1:48">
      <c r="A49" s="2" t="s">
        <v>32</v>
      </c>
      <c r="B49" s="2" t="s">
        <v>33</v>
      </c>
      <c r="C49" s="2" t="s">
        <v>34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9.7222222222222224E-3</v>
      </c>
      <c r="K49" s="5">
        <v>0</v>
      </c>
      <c r="L49" s="5">
        <v>9.0277777777777769E-3</v>
      </c>
      <c r="M49" s="5">
        <v>2.2222222222222223E-2</v>
      </c>
      <c r="N49" s="5">
        <v>6.2500000000000003E-3</v>
      </c>
      <c r="O49" s="5">
        <v>1.4583333333333334E-2</v>
      </c>
      <c r="P49" s="5">
        <v>9.7222222222222224E-3</v>
      </c>
      <c r="Q49" s="5">
        <v>0</v>
      </c>
      <c r="R49" s="5">
        <v>0</v>
      </c>
      <c r="S49" s="5">
        <v>2.1527777777777778E-2</v>
      </c>
      <c r="T49" s="5">
        <v>0</v>
      </c>
      <c r="U49" s="5">
        <v>1.3888888888888889E-3</v>
      </c>
      <c r="V49" s="5">
        <v>2.0833333333333333E-3</v>
      </c>
      <c r="W49" s="5">
        <v>1.0416666666666666E-2</v>
      </c>
      <c r="X49" s="5">
        <v>1.1111111111111112E-2</v>
      </c>
      <c r="Y49" s="5">
        <v>0</v>
      </c>
      <c r="Z49" s="5">
        <v>6.9444444444444447E-4</v>
      </c>
      <c r="AA49" s="5">
        <v>5.5555555555555558E-3</v>
      </c>
      <c r="AB49" s="5">
        <v>5.5555555555555558E-3</v>
      </c>
      <c r="AC49" s="5">
        <v>3.472222222222222E-3</v>
      </c>
      <c r="AD49" s="5">
        <v>1.1111111111111112E-2</v>
      </c>
      <c r="AE49" s="5">
        <v>3.7499999999999999E-2</v>
      </c>
      <c r="AF49" s="5">
        <v>0</v>
      </c>
      <c r="AG49" s="5">
        <v>0</v>
      </c>
      <c r="AH49" s="5">
        <v>1.3888888888888889E-3</v>
      </c>
      <c r="AI49" s="2"/>
      <c r="AJ49" s="1">
        <v>2</v>
      </c>
      <c r="AK49" s="1">
        <f t="shared" si="12"/>
        <v>31</v>
      </c>
      <c r="AL49" s="10">
        <v>6.9444444444444441E-3</v>
      </c>
      <c r="AM49" s="1">
        <f t="shared" si="1"/>
        <v>10</v>
      </c>
      <c r="AN49" s="13">
        <f t="shared" si="13"/>
        <v>0.32258064516129031</v>
      </c>
      <c r="AO49" s="14">
        <f t="shared" si="14"/>
        <v>0</v>
      </c>
      <c r="AP49" s="1" t="s">
        <v>203</v>
      </c>
      <c r="AQ49" s="1" t="str">
        <f t="shared" si="6"/>
        <v>RONY CRUZ</v>
      </c>
      <c r="AR49" s="1">
        <f t="shared" si="4"/>
        <v>11</v>
      </c>
      <c r="AS49" s="1" t="str">
        <f t="shared" si="5"/>
        <v>CRUZ TAIPE</v>
      </c>
      <c r="AT49" s="1">
        <f t="shared" si="7"/>
        <v>5</v>
      </c>
      <c r="AU49" s="1" t="str">
        <f t="shared" si="8"/>
        <v>RONY WALDIR</v>
      </c>
      <c r="AV49" s="1">
        <f t="shared" si="9"/>
        <v>5</v>
      </c>
    </row>
    <row r="50" spans="1:48">
      <c r="A50" s="2" t="s">
        <v>36</v>
      </c>
      <c r="B50" s="2" t="s">
        <v>37</v>
      </c>
      <c r="C50" s="2" t="s">
        <v>38</v>
      </c>
      <c r="D50" s="5">
        <v>0</v>
      </c>
      <c r="E50" s="5">
        <v>0</v>
      </c>
      <c r="F50" s="5">
        <v>1.0416666666666666E-2</v>
      </c>
      <c r="G50" s="5">
        <v>1.5277777777777777E-2</v>
      </c>
      <c r="H50" s="5">
        <v>2.6388888888888889E-2</v>
      </c>
      <c r="I50" s="5">
        <v>0</v>
      </c>
      <c r="J50" s="5">
        <v>1.5277777777777777E-2</v>
      </c>
      <c r="K50" s="5">
        <v>0</v>
      </c>
      <c r="L50" s="5">
        <v>0</v>
      </c>
      <c r="M50" s="5">
        <v>4.1666666666666666E-3</v>
      </c>
      <c r="N50" s="5">
        <v>0</v>
      </c>
      <c r="O50" s="5">
        <v>9.7222222222222224E-3</v>
      </c>
      <c r="P50" s="5">
        <v>1.0416666666666666E-2</v>
      </c>
      <c r="Q50" s="5">
        <v>0</v>
      </c>
      <c r="R50" s="5">
        <v>0</v>
      </c>
      <c r="S50" s="5">
        <v>0</v>
      </c>
      <c r="T50" s="5">
        <v>4.1666666666666666E-3</v>
      </c>
      <c r="U50" s="5">
        <v>2.0833333333333333E-3</v>
      </c>
      <c r="V50" s="5">
        <v>6.2500000000000003E-3</v>
      </c>
      <c r="W50" s="5">
        <v>9.7222222222222224E-3</v>
      </c>
      <c r="X50" s="2" t="s">
        <v>49</v>
      </c>
      <c r="Y50" s="5">
        <v>0</v>
      </c>
      <c r="Z50" s="5">
        <v>4.1666666666666666E-3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8.3333333333333332E-3</v>
      </c>
      <c r="AH50" s="5">
        <v>0</v>
      </c>
      <c r="AI50" s="2"/>
      <c r="AJ50" s="1">
        <v>2</v>
      </c>
      <c r="AK50" s="1">
        <f t="shared" si="12"/>
        <v>31</v>
      </c>
      <c r="AL50" s="10">
        <v>6.9444444444444441E-3</v>
      </c>
      <c r="AM50" s="1">
        <f t="shared" si="1"/>
        <v>8</v>
      </c>
      <c r="AN50" s="13">
        <f t="shared" si="13"/>
        <v>0.25806451612903225</v>
      </c>
      <c r="AO50" s="14">
        <f t="shared" si="14"/>
        <v>1</v>
      </c>
      <c r="AP50" s="1" t="s">
        <v>201</v>
      </c>
      <c r="AQ50" s="1" t="str">
        <f t="shared" si="6"/>
        <v>MARQUIÑO ANDRADE</v>
      </c>
      <c r="AR50" s="1">
        <f t="shared" si="4"/>
        <v>13</v>
      </c>
      <c r="AS50" s="1" t="str">
        <f t="shared" si="5"/>
        <v>ANDRADE MERA</v>
      </c>
      <c r="AT50" s="1">
        <f t="shared" si="7"/>
        <v>8</v>
      </c>
      <c r="AU50" s="1" t="str">
        <f t="shared" si="8"/>
        <v>MARQUIÑO ANTONY</v>
      </c>
      <c r="AV50" s="1">
        <f t="shared" si="9"/>
        <v>9</v>
      </c>
    </row>
    <row r="51" spans="1:48">
      <c r="A51" s="2" t="s">
        <v>134</v>
      </c>
      <c r="B51" s="2" t="s">
        <v>135</v>
      </c>
      <c r="C51" s="2" t="s">
        <v>136</v>
      </c>
      <c r="D51" s="5">
        <v>0</v>
      </c>
      <c r="E51" s="5">
        <v>1.2500000000000001E-2</v>
      </c>
      <c r="F51" s="5">
        <v>2.013888888888889E-2</v>
      </c>
      <c r="G51" s="5">
        <v>0</v>
      </c>
      <c r="H51" s="5">
        <v>1.3194444444444444E-2</v>
      </c>
      <c r="I51" s="5">
        <v>1.9444444444444445E-2</v>
      </c>
      <c r="J51" s="5">
        <v>0</v>
      </c>
      <c r="K51" s="5">
        <v>0</v>
      </c>
      <c r="L51" s="5">
        <v>0</v>
      </c>
      <c r="M51" s="5">
        <v>7.6388888888888886E-3</v>
      </c>
      <c r="N51" s="5">
        <v>0</v>
      </c>
      <c r="O51" s="5">
        <v>2.4305555555555556E-2</v>
      </c>
      <c r="P51" s="5">
        <v>2.7083333333333334E-2</v>
      </c>
      <c r="Q51" s="5">
        <v>0</v>
      </c>
      <c r="R51" s="5">
        <v>0</v>
      </c>
      <c r="S51" s="5">
        <v>0</v>
      </c>
      <c r="T51" s="5">
        <v>2.2916666666666665E-2</v>
      </c>
      <c r="U51" s="5">
        <v>3.0555555555555555E-2</v>
      </c>
      <c r="V51" s="5">
        <v>2.7083333333333334E-2</v>
      </c>
      <c r="W51" s="5">
        <v>2.9861111111111113E-2</v>
      </c>
      <c r="X51" s="5">
        <v>0</v>
      </c>
      <c r="Y51" s="5">
        <v>0</v>
      </c>
      <c r="Z51" s="5">
        <v>9.7222222222222224E-3</v>
      </c>
      <c r="AA51" s="5">
        <v>0</v>
      </c>
      <c r="AB51" s="5">
        <v>0</v>
      </c>
      <c r="AC51" s="5">
        <v>7.6388888888888886E-3</v>
      </c>
      <c r="AD51" s="5">
        <v>2.1527777777777778E-2</v>
      </c>
      <c r="AE51" s="5">
        <v>0</v>
      </c>
      <c r="AF51" s="5">
        <v>0</v>
      </c>
      <c r="AG51" s="5">
        <v>1.3888888888888888E-2</v>
      </c>
      <c r="AH51" s="5">
        <v>2.5000000000000001E-2</v>
      </c>
      <c r="AI51" s="2"/>
      <c r="AJ51" s="1">
        <v>2</v>
      </c>
      <c r="AK51" s="1">
        <f t="shared" si="12"/>
        <v>31</v>
      </c>
      <c r="AL51" s="10">
        <v>6.9444444444444441E-3</v>
      </c>
      <c r="AM51" s="1">
        <f t="shared" si="1"/>
        <v>16</v>
      </c>
      <c r="AN51" s="13">
        <f t="shared" si="13"/>
        <v>0.5161290322580645</v>
      </c>
      <c r="AO51" s="14">
        <f t="shared" si="14"/>
        <v>0</v>
      </c>
      <c r="AP51" s="1" t="str">
        <f>VLOOKUP(B51,Hoja3!$A$1:$B$14,2,0)</f>
        <v>CESADO</v>
      </c>
      <c r="AQ51" s="1" t="str">
        <f t="shared" si="6"/>
        <v>LITTA CLAROS</v>
      </c>
      <c r="AR51" s="1">
        <f t="shared" si="4"/>
        <v>13</v>
      </c>
      <c r="AS51" s="1" t="str">
        <f t="shared" si="5"/>
        <v>CLAROS NIETO</v>
      </c>
      <c r="AT51" s="1">
        <f t="shared" si="7"/>
        <v>7</v>
      </c>
      <c r="AU51" s="1" t="str">
        <f t="shared" si="8"/>
        <v>LITTA DANERY</v>
      </c>
      <c r="AV51" s="1">
        <f t="shared" si="9"/>
        <v>6</v>
      </c>
    </row>
    <row r="52" spans="1:48">
      <c r="A52" s="2" t="s">
        <v>176</v>
      </c>
      <c r="B52" s="2" t="s">
        <v>177</v>
      </c>
      <c r="C52" s="2" t="s">
        <v>178</v>
      </c>
      <c r="D52" s="5">
        <v>0</v>
      </c>
      <c r="E52" s="2" t="s">
        <v>49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5">
        <v>0</v>
      </c>
      <c r="L52" s="2" t="s">
        <v>49</v>
      </c>
      <c r="M52" s="2" t="s">
        <v>49</v>
      </c>
      <c r="N52" s="2" t="s">
        <v>49</v>
      </c>
      <c r="O52" s="2" t="s">
        <v>49</v>
      </c>
      <c r="P52" s="2" t="s">
        <v>49</v>
      </c>
      <c r="Q52" s="2" t="s">
        <v>49</v>
      </c>
      <c r="R52" s="5">
        <v>0</v>
      </c>
      <c r="S52" s="2" t="s">
        <v>49</v>
      </c>
      <c r="T52" s="2" t="s">
        <v>49</v>
      </c>
      <c r="U52" s="2" t="s">
        <v>49</v>
      </c>
      <c r="V52" s="2" t="s">
        <v>49</v>
      </c>
      <c r="W52" s="2" t="s">
        <v>49</v>
      </c>
      <c r="X52" s="2" t="s">
        <v>49</v>
      </c>
      <c r="Y52" s="5">
        <v>0</v>
      </c>
      <c r="Z52" s="2" t="s">
        <v>49</v>
      </c>
      <c r="AA52" s="2" t="s">
        <v>49</v>
      </c>
      <c r="AB52" s="2" t="s">
        <v>49</v>
      </c>
      <c r="AC52" s="2" t="s">
        <v>49</v>
      </c>
      <c r="AD52" s="2" t="s">
        <v>49</v>
      </c>
      <c r="AE52" s="2" t="s">
        <v>49</v>
      </c>
      <c r="AF52" s="5">
        <v>0</v>
      </c>
      <c r="AG52" s="2" t="s">
        <v>49</v>
      </c>
      <c r="AH52" s="2" t="s">
        <v>49</v>
      </c>
      <c r="AI52" s="2"/>
      <c r="AJ52" s="1">
        <v>2</v>
      </c>
      <c r="AK52" s="1">
        <f t="shared" si="12"/>
        <v>31</v>
      </c>
      <c r="AL52" s="10">
        <v>6.9444444444444441E-3</v>
      </c>
      <c r="AM52" s="1">
        <f t="shared" si="1"/>
        <v>0</v>
      </c>
      <c r="AN52" s="13">
        <f t="shared" si="13"/>
        <v>0</v>
      </c>
      <c r="AO52" s="14">
        <f t="shared" si="14"/>
        <v>26</v>
      </c>
      <c r="AP52" s="1" t="str">
        <f>VLOOKUP(B52,Hoja3!$A$1:$B$14,2,0)</f>
        <v>CESADO</v>
      </c>
      <c r="AQ52" s="1" t="str">
        <f>CONCATENATE(AU52," ",(MID(AS52,1,AT52-1)))</f>
        <v>JOE ZARATE</v>
      </c>
      <c r="AR52" s="1">
        <f t="shared" si="4"/>
        <v>15</v>
      </c>
      <c r="AS52" s="1" t="str">
        <f t="shared" si="5"/>
        <v>ZARATE SALAZAR</v>
      </c>
      <c r="AT52" s="1">
        <f t="shared" si="7"/>
        <v>7</v>
      </c>
      <c r="AU52" s="1" t="str">
        <f t="shared" si="8"/>
        <v>JOE</v>
      </c>
      <c r="AV52" s="1" t="e">
        <f t="shared" si="9"/>
        <v>#VALUE!</v>
      </c>
    </row>
    <row r="53" spans="1:48">
      <c r="A53" s="2" t="s">
        <v>39</v>
      </c>
      <c r="B53" s="2" t="s">
        <v>40</v>
      </c>
      <c r="C53" s="2" t="s">
        <v>41</v>
      </c>
      <c r="D53" s="5">
        <v>0</v>
      </c>
      <c r="E53" s="5">
        <v>4.1666666666666666E-3</v>
      </c>
      <c r="F53" s="5">
        <v>2.0833333333333333E-3</v>
      </c>
      <c r="G53" s="5">
        <v>0</v>
      </c>
      <c r="H53" s="5">
        <v>8.3333333333333332E-3</v>
      </c>
      <c r="I53" s="5">
        <v>0</v>
      </c>
      <c r="J53" s="5">
        <v>0</v>
      </c>
      <c r="K53" s="5">
        <v>0</v>
      </c>
      <c r="L53" s="5">
        <v>4.1666666666666666E-3</v>
      </c>
      <c r="M53" s="5">
        <v>6.9444444444444447E-4</v>
      </c>
      <c r="N53" s="5">
        <v>2.7777777777777779E-3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6.9444444444444441E-3</v>
      </c>
      <c r="U53" s="5">
        <v>4.8611111111111112E-3</v>
      </c>
      <c r="V53" s="5">
        <v>0</v>
      </c>
      <c r="W53" s="5">
        <v>1.3888888888888889E-3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2"/>
      <c r="AJ53" s="1">
        <v>2</v>
      </c>
      <c r="AK53" s="1">
        <f t="shared" si="12"/>
        <v>31</v>
      </c>
      <c r="AL53" s="10">
        <v>6.9444444444444441E-3</v>
      </c>
      <c r="AM53" s="1">
        <f t="shared" si="1"/>
        <v>1</v>
      </c>
      <c r="AN53" s="13">
        <f t="shared" si="13"/>
        <v>3.2258064516129031E-2</v>
      </c>
      <c r="AO53" s="14">
        <f t="shared" si="14"/>
        <v>0</v>
      </c>
      <c r="AP53" s="1" t="s">
        <v>203</v>
      </c>
      <c r="AQ53" s="1" t="str">
        <f t="shared" si="6"/>
        <v>FRANCISCO MEJIA</v>
      </c>
      <c r="AR53" s="1">
        <f t="shared" si="4"/>
        <v>13</v>
      </c>
      <c r="AS53" s="1" t="str">
        <f t="shared" si="5"/>
        <v>MEJIA TORRES</v>
      </c>
      <c r="AT53" s="1">
        <f t="shared" si="7"/>
        <v>6</v>
      </c>
      <c r="AU53" s="1" t="str">
        <f t="shared" si="8"/>
        <v>FRANCISCO JAVIER</v>
      </c>
      <c r="AV53" s="1">
        <f t="shared" si="9"/>
        <v>10</v>
      </c>
    </row>
    <row r="54" spans="1:48">
      <c r="A54" s="2" t="s">
        <v>42</v>
      </c>
      <c r="B54" s="2" t="s">
        <v>43</v>
      </c>
      <c r="C54" s="2" t="s">
        <v>44</v>
      </c>
      <c r="D54" s="5">
        <v>0</v>
      </c>
      <c r="E54" s="5">
        <v>1.6666666666666666E-2</v>
      </c>
      <c r="F54" s="2" t="s">
        <v>179</v>
      </c>
      <c r="G54" s="5">
        <v>1.1805555555555555E-2</v>
      </c>
      <c r="H54" s="5">
        <v>1.5972222222222221E-2</v>
      </c>
      <c r="I54" s="5">
        <v>9.0277777777777769E-3</v>
      </c>
      <c r="J54" s="5">
        <v>0</v>
      </c>
      <c r="K54" s="5">
        <v>0</v>
      </c>
      <c r="L54" s="5">
        <v>0</v>
      </c>
      <c r="M54" s="5">
        <v>2.4305555555555556E-2</v>
      </c>
      <c r="N54" s="5">
        <v>1.0416666666666666E-2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6.9444444444444441E-3</v>
      </c>
      <c r="U54" s="5">
        <v>0</v>
      </c>
      <c r="V54" s="5">
        <v>0</v>
      </c>
      <c r="W54" s="5">
        <v>6.9444444444444441E-3</v>
      </c>
      <c r="X54" s="5">
        <v>0</v>
      </c>
      <c r="Y54" s="5">
        <v>0</v>
      </c>
      <c r="Z54" s="2" t="s">
        <v>49</v>
      </c>
      <c r="AA54" s="5">
        <v>1.3888888888888888E-2</v>
      </c>
      <c r="AB54" s="5">
        <v>0</v>
      </c>
      <c r="AC54" s="5">
        <v>2.5694444444444443E-2</v>
      </c>
      <c r="AD54" s="5">
        <v>0</v>
      </c>
      <c r="AE54" s="5">
        <v>4.8611111111111112E-3</v>
      </c>
      <c r="AF54" s="5">
        <v>0</v>
      </c>
      <c r="AG54" s="5">
        <v>0</v>
      </c>
      <c r="AH54" s="2" t="s">
        <v>49</v>
      </c>
      <c r="AI54" s="2"/>
      <c r="AJ54" s="1">
        <v>2</v>
      </c>
      <c r="AK54" s="1">
        <f t="shared" si="12"/>
        <v>31</v>
      </c>
      <c r="AL54" s="10">
        <v>6.9444444444444441E-3</v>
      </c>
      <c r="AM54" s="1">
        <f t="shared" si="1"/>
        <v>8</v>
      </c>
      <c r="AN54" s="13">
        <f t="shared" si="13"/>
        <v>0.25806451612903225</v>
      </c>
      <c r="AO54" s="14">
        <f t="shared" si="14"/>
        <v>2</v>
      </c>
      <c r="AP54" s="1" t="s">
        <v>203</v>
      </c>
      <c r="AQ54" s="1" t="str">
        <f t="shared" si="6"/>
        <v>CARLOS GUEVARA</v>
      </c>
      <c r="AR54" s="1">
        <f t="shared" si="4"/>
        <v>16</v>
      </c>
      <c r="AS54" s="1" t="str">
        <f t="shared" si="5"/>
        <v>GUEVARA CABELLO</v>
      </c>
      <c r="AT54" s="1">
        <f t="shared" si="7"/>
        <v>8</v>
      </c>
      <c r="AU54" s="1" t="str">
        <f t="shared" si="8"/>
        <v>CARLOS JEANPIERRE</v>
      </c>
      <c r="AV54" s="1">
        <f t="shared" si="9"/>
        <v>7</v>
      </c>
    </row>
    <row r="55" spans="1:48">
      <c r="A55" s="2" t="s">
        <v>54</v>
      </c>
      <c r="B55" s="2" t="s">
        <v>55</v>
      </c>
      <c r="C55" s="2" t="s">
        <v>56</v>
      </c>
      <c r="D55" s="5">
        <v>0</v>
      </c>
      <c r="E55" s="5">
        <v>8.3333333333333332E-3</v>
      </c>
      <c r="F55" s="5">
        <v>1.8055555555555554E-2</v>
      </c>
      <c r="G55" s="5">
        <v>8.3333333333333332E-3</v>
      </c>
      <c r="H55" s="5">
        <v>0</v>
      </c>
      <c r="I55" s="5">
        <v>2.7083333333333334E-2</v>
      </c>
      <c r="J55" s="5">
        <v>0</v>
      </c>
      <c r="K55" s="5">
        <v>0</v>
      </c>
      <c r="L55" s="5">
        <v>2.5000000000000001E-2</v>
      </c>
      <c r="M55" s="5">
        <v>1.1805555555555555E-2</v>
      </c>
      <c r="N55" s="2" t="s">
        <v>49</v>
      </c>
      <c r="O55" s="2" t="s">
        <v>49</v>
      </c>
      <c r="P55" s="2" t="s">
        <v>49</v>
      </c>
      <c r="Q55" s="5">
        <v>4.1666666666666666E-3</v>
      </c>
      <c r="R55" s="5">
        <v>0</v>
      </c>
      <c r="S55" s="5">
        <v>1.3888888888888888E-2</v>
      </c>
      <c r="T55" s="5">
        <v>0</v>
      </c>
      <c r="U55" s="5">
        <v>2.9166666666666667E-2</v>
      </c>
      <c r="V55" s="5">
        <v>2.7777777777777776E-2</v>
      </c>
      <c r="W55" s="5">
        <v>5.5555555555555558E-3</v>
      </c>
      <c r="X55" s="5">
        <v>6.9444444444444441E-3</v>
      </c>
      <c r="Y55" s="5">
        <v>0</v>
      </c>
      <c r="Z55" s="5">
        <v>1.4583333333333334E-2</v>
      </c>
      <c r="AA55" s="5">
        <v>7.6388888888888886E-3</v>
      </c>
      <c r="AB55" s="5">
        <v>1.3194444444444444E-2</v>
      </c>
      <c r="AC55" s="5">
        <v>1.3888888888888888E-2</v>
      </c>
      <c r="AD55" s="5">
        <v>2.2222222222222223E-2</v>
      </c>
      <c r="AE55" s="5">
        <v>0</v>
      </c>
      <c r="AF55" s="5">
        <v>0</v>
      </c>
      <c r="AG55" s="5">
        <v>0</v>
      </c>
      <c r="AH55" s="5">
        <v>2.013888888888889E-2</v>
      </c>
      <c r="AI55" s="2"/>
      <c r="AJ55" s="1">
        <v>2</v>
      </c>
      <c r="AK55" s="1">
        <f t="shared" si="12"/>
        <v>31</v>
      </c>
      <c r="AL55" s="10">
        <v>6.9444444444444441E-3</v>
      </c>
      <c r="AM55" s="1">
        <f t="shared" si="1"/>
        <v>15</v>
      </c>
      <c r="AN55" s="13">
        <f t="shared" si="13"/>
        <v>0.4838709677419355</v>
      </c>
      <c r="AO55" s="14">
        <f t="shared" si="14"/>
        <v>3</v>
      </c>
      <c r="AP55" s="1" t="s">
        <v>203</v>
      </c>
      <c r="AQ55" s="1" t="str">
        <f t="shared" ref="AQ55:AQ56" si="15">CONCATENATE(AU55," ",(MID(AS55,1,AT55-1)))</f>
        <v>KIMBERLLY AMES</v>
      </c>
      <c r="AR55" s="1">
        <f t="shared" si="4"/>
        <v>14</v>
      </c>
      <c r="AS55" s="1" t="str">
        <f t="shared" si="5"/>
        <v>AMES ESPINOZA</v>
      </c>
      <c r="AT55" s="1">
        <f t="shared" si="7"/>
        <v>5</v>
      </c>
      <c r="AU55" s="1" t="str">
        <f t="shared" si="8"/>
        <v>KIMBERLLY</v>
      </c>
      <c r="AV55" s="1" t="e">
        <f t="shared" si="9"/>
        <v>#VALUE!</v>
      </c>
    </row>
    <row r="56" spans="1:48">
      <c r="A56" s="2" t="s">
        <v>58</v>
      </c>
      <c r="B56" s="2" t="s">
        <v>59</v>
      </c>
      <c r="C56" s="2" t="s">
        <v>60</v>
      </c>
      <c r="D56" s="5">
        <v>0</v>
      </c>
      <c r="E56" s="5">
        <v>1.1111111111111112E-2</v>
      </c>
      <c r="F56" s="5">
        <v>2.013888888888889E-2</v>
      </c>
      <c r="G56" s="5">
        <v>1.1111111111111112E-2</v>
      </c>
      <c r="H56" s="5">
        <v>1.8749999999999999E-2</v>
      </c>
      <c r="I56" s="5">
        <v>1.8749999999999999E-2</v>
      </c>
      <c r="J56" s="5">
        <v>1.1805555555555555E-2</v>
      </c>
      <c r="K56" s="5">
        <v>0</v>
      </c>
      <c r="L56" s="5">
        <v>2.4305555555555556E-2</v>
      </c>
      <c r="M56" s="5">
        <v>0</v>
      </c>
      <c r="N56" s="5">
        <v>0</v>
      </c>
      <c r="O56" s="5">
        <v>0</v>
      </c>
      <c r="P56" s="5">
        <v>1.6666666666666666E-2</v>
      </c>
      <c r="Q56" s="5">
        <v>1.1805555555555555E-2</v>
      </c>
      <c r="R56" s="5">
        <v>0</v>
      </c>
      <c r="S56" s="5">
        <v>1.6666666666666666E-2</v>
      </c>
      <c r="T56" s="5">
        <v>1.6666666666666666E-2</v>
      </c>
      <c r="U56" s="5">
        <v>0</v>
      </c>
      <c r="V56" s="5">
        <v>3.9583333333333331E-2</v>
      </c>
      <c r="W56" s="5">
        <v>1.8055555555555554E-2</v>
      </c>
      <c r="X56" s="5">
        <v>1.1111111111111112E-2</v>
      </c>
      <c r="Y56" s="5">
        <v>0</v>
      </c>
      <c r="Z56" s="5">
        <v>1.5277777777777777E-2</v>
      </c>
      <c r="AA56" s="5">
        <v>1.5277777777777777E-2</v>
      </c>
      <c r="AB56" s="5">
        <v>1.1111111111111112E-2</v>
      </c>
      <c r="AC56" s="5">
        <v>1.3888888888888888E-2</v>
      </c>
      <c r="AD56" s="5">
        <v>6.9444444444444441E-3</v>
      </c>
      <c r="AE56" s="5">
        <v>1.1111111111111112E-2</v>
      </c>
      <c r="AF56" s="5">
        <v>0</v>
      </c>
      <c r="AG56" s="5">
        <v>9.0277777777777769E-3</v>
      </c>
      <c r="AH56" s="5">
        <v>1.8055555555555554E-2</v>
      </c>
      <c r="AI56" s="2"/>
      <c r="AJ56" s="1">
        <v>2</v>
      </c>
      <c r="AK56" s="1">
        <f t="shared" si="12"/>
        <v>31</v>
      </c>
      <c r="AL56" s="10">
        <v>6.9444444444444441E-3</v>
      </c>
      <c r="AM56" s="1">
        <f t="shared" si="1"/>
        <v>21</v>
      </c>
      <c r="AN56" s="13">
        <f t="shared" si="13"/>
        <v>0.67741935483870963</v>
      </c>
      <c r="AO56" s="14">
        <f t="shared" si="14"/>
        <v>0</v>
      </c>
      <c r="AP56" s="1" t="s">
        <v>203</v>
      </c>
      <c r="AQ56" s="1" t="str">
        <f t="shared" si="15"/>
        <v>LILIANA ALVARADO</v>
      </c>
      <c r="AR56" s="1">
        <f t="shared" si="4"/>
        <v>16</v>
      </c>
      <c r="AS56" s="1" t="str">
        <f t="shared" si="5"/>
        <v>ALVARADO ECHAIZ</v>
      </c>
      <c r="AT56" s="1">
        <f t="shared" si="7"/>
        <v>9</v>
      </c>
      <c r="AU56" s="1" t="str">
        <f t="shared" si="8"/>
        <v>LILIANA</v>
      </c>
      <c r="AV56" s="1" t="e">
        <f t="shared" si="9"/>
        <v>#VALUE!</v>
      </c>
    </row>
    <row r="57" spans="1:48">
      <c r="A57" s="2" t="s">
        <v>61</v>
      </c>
      <c r="B57" s="2" t="s">
        <v>62</v>
      </c>
      <c r="C57" s="2" t="s">
        <v>63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4.1666666666666666E-3</v>
      </c>
      <c r="Q57" s="5">
        <v>1.3888888888888889E-3</v>
      </c>
      <c r="R57" s="5">
        <v>0</v>
      </c>
      <c r="S57" s="5">
        <v>0</v>
      </c>
      <c r="T57" s="5">
        <v>0</v>
      </c>
      <c r="U57" s="5">
        <v>2.7777777777777779E-3</v>
      </c>
      <c r="V57" s="5">
        <v>6.9444444444444447E-4</v>
      </c>
      <c r="W57" s="5">
        <v>2.7777777777777779E-3</v>
      </c>
      <c r="X57" s="5">
        <v>0</v>
      </c>
      <c r="Y57" s="5">
        <v>0</v>
      </c>
      <c r="Z57" s="5">
        <v>1.3888888888888889E-3</v>
      </c>
      <c r="AA57" s="5">
        <v>2.0833333333333333E-3</v>
      </c>
      <c r="AB57" s="5">
        <v>0</v>
      </c>
      <c r="AC57" s="5">
        <v>3.472222222222222E-3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2"/>
      <c r="AJ57" s="1">
        <v>2</v>
      </c>
      <c r="AK57" s="1">
        <f t="shared" si="12"/>
        <v>31</v>
      </c>
      <c r="AL57" s="10">
        <v>6.9444444444444441E-3</v>
      </c>
      <c r="AM57" s="1">
        <f t="shared" si="1"/>
        <v>0</v>
      </c>
      <c r="AN57" s="13">
        <f t="shared" si="13"/>
        <v>0</v>
      </c>
      <c r="AO57" s="14">
        <f t="shared" si="14"/>
        <v>0</v>
      </c>
      <c r="AP57" s="1" t="s">
        <v>203</v>
      </c>
      <c r="AQ57" s="1" t="str">
        <f t="shared" si="6"/>
        <v>MANUEL MERMA</v>
      </c>
      <c r="AR57" s="1">
        <f t="shared" si="4"/>
        <v>12</v>
      </c>
      <c r="AS57" s="1" t="str">
        <f t="shared" si="5"/>
        <v>MERMA CHILA</v>
      </c>
      <c r="AT57" s="1">
        <f t="shared" si="7"/>
        <v>6</v>
      </c>
      <c r="AU57" s="1" t="str">
        <f t="shared" si="8"/>
        <v>MANUEL ENRIQUE</v>
      </c>
      <c r="AV57" s="1">
        <f t="shared" si="9"/>
        <v>7</v>
      </c>
    </row>
    <row r="58" spans="1:48">
      <c r="A58" s="2" t="s">
        <v>64</v>
      </c>
      <c r="B58" s="2" t="s">
        <v>65</v>
      </c>
      <c r="C58" s="2" t="s">
        <v>66</v>
      </c>
      <c r="D58" s="5">
        <v>0</v>
      </c>
      <c r="E58" s="5">
        <v>4.1666666666666666E-3</v>
      </c>
      <c r="F58" s="5">
        <v>0</v>
      </c>
      <c r="G58" s="5">
        <v>4.1666666666666666E-3</v>
      </c>
      <c r="H58" s="5">
        <v>0</v>
      </c>
      <c r="I58" s="5">
        <v>0</v>
      </c>
      <c r="J58" s="5">
        <v>1.5277777777777777E-2</v>
      </c>
      <c r="K58" s="5">
        <v>0</v>
      </c>
      <c r="L58" s="5">
        <v>7.6388888888888886E-3</v>
      </c>
      <c r="M58" s="5">
        <v>1.1111111111111112E-2</v>
      </c>
      <c r="N58" s="5">
        <v>0</v>
      </c>
      <c r="O58" s="5">
        <v>1.5277777777777777E-2</v>
      </c>
      <c r="P58" s="5">
        <v>1.4583333333333334E-2</v>
      </c>
      <c r="Q58" s="5">
        <v>2.2916666666666665E-2</v>
      </c>
      <c r="R58" s="5">
        <v>0</v>
      </c>
      <c r="S58" s="5">
        <v>0</v>
      </c>
      <c r="T58" s="5">
        <v>1.0416666666666666E-2</v>
      </c>
      <c r="U58" s="5">
        <v>0</v>
      </c>
      <c r="V58" s="5">
        <v>6.9444444444444447E-4</v>
      </c>
      <c r="W58" s="5">
        <v>1.3888888888888889E-3</v>
      </c>
      <c r="X58" s="5">
        <v>0</v>
      </c>
      <c r="Y58" s="5">
        <v>0</v>
      </c>
      <c r="Z58" s="5">
        <v>6.2500000000000003E-3</v>
      </c>
      <c r="AA58" s="5">
        <v>1.9444444444444445E-2</v>
      </c>
      <c r="AB58" s="5">
        <v>0</v>
      </c>
      <c r="AC58" s="5">
        <v>2.1527777777777778E-2</v>
      </c>
      <c r="AD58" s="5">
        <v>6.9444444444444441E-3</v>
      </c>
      <c r="AE58" s="5">
        <v>6.9444444444444441E-3</v>
      </c>
      <c r="AF58" s="5">
        <v>0</v>
      </c>
      <c r="AG58" s="5">
        <v>1.3888888888888889E-3</v>
      </c>
      <c r="AH58" s="5">
        <v>0</v>
      </c>
      <c r="AI58" s="2"/>
      <c r="AJ58" s="1">
        <v>2</v>
      </c>
      <c r="AK58" s="1">
        <f t="shared" si="12"/>
        <v>31</v>
      </c>
      <c r="AL58" s="10">
        <v>6.9444444444444441E-3</v>
      </c>
      <c r="AM58" s="1">
        <f t="shared" si="1"/>
        <v>9</v>
      </c>
      <c r="AN58" s="13">
        <f t="shared" si="13"/>
        <v>0.29032258064516131</v>
      </c>
      <c r="AO58" s="14">
        <f t="shared" si="14"/>
        <v>0</v>
      </c>
      <c r="AP58" s="1" t="s">
        <v>203</v>
      </c>
      <c r="AQ58" s="1" t="str">
        <f t="shared" si="6"/>
        <v>GRECIA SANCHEZ</v>
      </c>
      <c r="AR58" s="1">
        <f t="shared" si="4"/>
        <v>16</v>
      </c>
      <c r="AS58" s="1" t="str">
        <f t="shared" si="5"/>
        <v>SANCHEZ PANAIFO</v>
      </c>
      <c r="AT58" s="1">
        <f t="shared" si="7"/>
        <v>8</v>
      </c>
      <c r="AU58" s="1" t="str">
        <f t="shared" si="8"/>
        <v>GRECIA DANNAE</v>
      </c>
      <c r="AV58" s="1">
        <f t="shared" si="9"/>
        <v>7</v>
      </c>
    </row>
    <row r="59" spans="1:48">
      <c r="A59" s="2" t="s">
        <v>68</v>
      </c>
      <c r="B59" s="2" t="s">
        <v>69</v>
      </c>
      <c r="C59" s="2" t="s">
        <v>70</v>
      </c>
      <c r="D59" s="5">
        <v>0</v>
      </c>
      <c r="E59" s="2" t="s">
        <v>180</v>
      </c>
      <c r="F59" s="5">
        <v>2.0833333333333333E-3</v>
      </c>
      <c r="G59" s="5">
        <v>0</v>
      </c>
      <c r="H59" s="5">
        <v>6.2500000000000003E-3</v>
      </c>
      <c r="I59" s="5">
        <v>0</v>
      </c>
      <c r="J59" s="5">
        <v>0</v>
      </c>
      <c r="K59" s="5">
        <v>0</v>
      </c>
      <c r="L59" s="5">
        <v>6.9444444444444447E-4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1.1805555555555555E-2</v>
      </c>
      <c r="X59" s="5">
        <v>0</v>
      </c>
      <c r="Y59" s="5">
        <v>0</v>
      </c>
      <c r="Z59" s="5">
        <v>0</v>
      </c>
      <c r="AA59" s="5">
        <v>6.9444444444444447E-4</v>
      </c>
      <c r="AB59" s="5">
        <v>7.6388888888888886E-3</v>
      </c>
      <c r="AC59" s="5">
        <v>0</v>
      </c>
      <c r="AD59" s="5">
        <v>0</v>
      </c>
      <c r="AE59" s="5">
        <v>2.0833333333333333E-3</v>
      </c>
      <c r="AF59" s="5">
        <v>0</v>
      </c>
      <c r="AG59" s="5">
        <v>0</v>
      </c>
      <c r="AH59" s="5">
        <v>0</v>
      </c>
      <c r="AI59" s="2"/>
      <c r="AJ59" s="1">
        <v>2</v>
      </c>
      <c r="AK59" s="1">
        <f t="shared" si="12"/>
        <v>31</v>
      </c>
      <c r="AL59" s="10">
        <v>6.9444444444444441E-3</v>
      </c>
      <c r="AM59" s="1">
        <f t="shared" si="1"/>
        <v>2</v>
      </c>
      <c r="AN59" s="13">
        <f t="shared" si="13"/>
        <v>6.4516129032258063E-2</v>
      </c>
      <c r="AO59" s="14">
        <f t="shared" si="14"/>
        <v>0</v>
      </c>
      <c r="AP59" s="1" t="str">
        <f>VLOOKUP(B59,Hoja3!$A$1:$B$14,2,0)</f>
        <v>CESADO</v>
      </c>
      <c r="AQ59" s="1" t="str">
        <f t="shared" si="6"/>
        <v>DIANA CHAVEZ</v>
      </c>
      <c r="AR59" s="1">
        <f t="shared" si="4"/>
        <v>15</v>
      </c>
      <c r="AS59" s="1" t="str">
        <f t="shared" si="5"/>
        <v>CHAVEZ GUILLEN</v>
      </c>
      <c r="AT59" s="1">
        <f t="shared" si="7"/>
        <v>7</v>
      </c>
      <c r="AU59" s="1" t="str">
        <f t="shared" si="8"/>
        <v>DIANA CAROLINA</v>
      </c>
      <c r="AV59" s="1">
        <f t="shared" si="9"/>
        <v>6</v>
      </c>
    </row>
    <row r="60" spans="1:48">
      <c r="A60" s="2" t="s">
        <v>72</v>
      </c>
      <c r="B60" s="2" t="s">
        <v>73</v>
      </c>
      <c r="C60" s="2" t="s">
        <v>74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2" t="s">
        <v>181</v>
      </c>
      <c r="Y60" s="5">
        <v>0</v>
      </c>
      <c r="Z60" s="5">
        <v>0</v>
      </c>
      <c r="AA60" s="5">
        <v>0</v>
      </c>
      <c r="AB60" s="5">
        <v>2.6388888888888889E-2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2"/>
      <c r="AJ60" s="1">
        <v>2</v>
      </c>
      <c r="AK60" s="1">
        <f t="shared" si="12"/>
        <v>31</v>
      </c>
      <c r="AL60" s="10">
        <v>6.9444444444444441E-3</v>
      </c>
      <c r="AM60" s="1">
        <f t="shared" si="1"/>
        <v>1</v>
      </c>
      <c r="AN60" s="13">
        <f t="shared" si="13"/>
        <v>3.2258064516129031E-2</v>
      </c>
      <c r="AO60" s="14">
        <f t="shared" si="14"/>
        <v>0</v>
      </c>
      <c r="AP60" s="1" t="s">
        <v>203</v>
      </c>
      <c r="AQ60" s="1" t="str">
        <f t="shared" si="6"/>
        <v>JONATHAN URDAY</v>
      </c>
      <c r="AR60" s="1">
        <f t="shared" si="4"/>
        <v>13</v>
      </c>
      <c r="AS60" s="1" t="str">
        <f t="shared" si="5"/>
        <v>URDAY CHOQUE</v>
      </c>
      <c r="AT60" s="1">
        <f t="shared" si="7"/>
        <v>6</v>
      </c>
      <c r="AU60" s="1" t="str">
        <f t="shared" si="8"/>
        <v>JONATHAN EDGARD</v>
      </c>
      <c r="AV60" s="1">
        <f t="shared" si="9"/>
        <v>9</v>
      </c>
    </row>
    <row r="61" spans="1:48">
      <c r="A61" s="2" t="s">
        <v>121</v>
      </c>
      <c r="B61" s="2" t="s">
        <v>122</v>
      </c>
      <c r="C61" s="2" t="s">
        <v>123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2.0833333333333333E-3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1.3888888888888889E-3</v>
      </c>
      <c r="R61" s="5">
        <v>0</v>
      </c>
      <c r="S61" s="5">
        <v>0</v>
      </c>
      <c r="T61" s="5">
        <v>0</v>
      </c>
      <c r="U61" s="5">
        <v>1.3888888888888889E-3</v>
      </c>
      <c r="V61" s="5">
        <v>0</v>
      </c>
      <c r="W61" s="5">
        <v>4.1666666666666666E-3</v>
      </c>
      <c r="X61" s="5">
        <v>2.7777777777777779E-3</v>
      </c>
      <c r="Y61" s="5">
        <v>0</v>
      </c>
      <c r="Z61" s="5">
        <v>0</v>
      </c>
      <c r="AA61" s="5">
        <v>0</v>
      </c>
      <c r="AB61" s="5">
        <v>0</v>
      </c>
      <c r="AC61" s="5">
        <v>8.3333333333333332E-3</v>
      </c>
      <c r="AD61" s="2" t="s">
        <v>182</v>
      </c>
      <c r="AE61" s="5">
        <v>0</v>
      </c>
      <c r="AF61" s="5">
        <v>0</v>
      </c>
      <c r="AG61" s="5">
        <v>0</v>
      </c>
      <c r="AH61" s="5">
        <v>0</v>
      </c>
      <c r="AI61" s="2"/>
      <c r="AJ61" s="1">
        <v>2</v>
      </c>
      <c r="AK61" s="1">
        <f t="shared" si="12"/>
        <v>31</v>
      </c>
      <c r="AL61" s="10">
        <v>6.9444444444444441E-3</v>
      </c>
      <c r="AM61" s="1">
        <f t="shared" si="1"/>
        <v>1</v>
      </c>
      <c r="AN61" s="13">
        <f t="shared" si="13"/>
        <v>3.2258064516129031E-2</v>
      </c>
      <c r="AO61" s="14">
        <f t="shared" si="14"/>
        <v>0</v>
      </c>
      <c r="AP61" s="1" t="str">
        <f>VLOOKUP(B61,Hoja3!$A$1:$B$14,2,0)</f>
        <v>CESADO</v>
      </c>
      <c r="AQ61" s="1" t="str">
        <f t="shared" si="6"/>
        <v>MARLENE PEREZ</v>
      </c>
      <c r="AR61" s="1">
        <f t="shared" si="4"/>
        <v>11</v>
      </c>
      <c r="AS61" s="1" t="str">
        <f t="shared" si="5"/>
        <v>PEREZ VERA</v>
      </c>
      <c r="AT61" s="1">
        <f t="shared" si="7"/>
        <v>6</v>
      </c>
      <c r="AU61" s="1" t="str">
        <f t="shared" si="8"/>
        <v>MARLENE BETTY</v>
      </c>
      <c r="AV61" s="1">
        <f t="shared" si="9"/>
        <v>8</v>
      </c>
    </row>
    <row r="62" spans="1:48">
      <c r="A62" s="2" t="s">
        <v>76</v>
      </c>
      <c r="B62" s="2" t="s">
        <v>77</v>
      </c>
      <c r="C62" s="2" t="s">
        <v>78</v>
      </c>
      <c r="D62" s="5">
        <v>0</v>
      </c>
      <c r="E62" s="5">
        <v>2.8472222222222222E-2</v>
      </c>
      <c r="F62" s="5">
        <v>0</v>
      </c>
      <c r="G62" s="5">
        <v>0</v>
      </c>
      <c r="H62" s="5">
        <v>3.125E-2</v>
      </c>
      <c r="I62" s="5">
        <v>6.9444444444444441E-3</v>
      </c>
      <c r="J62" s="5">
        <v>0</v>
      </c>
      <c r="K62" s="5">
        <v>0</v>
      </c>
      <c r="L62" s="5">
        <v>6.9444444444444441E-3</v>
      </c>
      <c r="M62" s="5">
        <v>6.9444444444444447E-4</v>
      </c>
      <c r="N62" s="5">
        <v>0</v>
      </c>
      <c r="O62" s="5">
        <v>2.2916666666666665E-2</v>
      </c>
      <c r="P62" s="5">
        <v>0</v>
      </c>
      <c r="Q62" s="5">
        <v>1.1805555555555555E-2</v>
      </c>
      <c r="R62" s="5">
        <v>0</v>
      </c>
      <c r="S62" s="5">
        <v>2.0833333333333333E-3</v>
      </c>
      <c r="T62" s="5">
        <v>1.5972222222222221E-2</v>
      </c>
      <c r="U62" s="5">
        <v>3.472222222222222E-3</v>
      </c>
      <c r="V62" s="2" t="s">
        <v>51</v>
      </c>
      <c r="W62" s="5">
        <v>0</v>
      </c>
      <c r="X62" s="5">
        <v>0</v>
      </c>
      <c r="Y62" s="5">
        <v>0</v>
      </c>
      <c r="Z62" s="5">
        <v>1.3888888888888888E-2</v>
      </c>
      <c r="AA62" s="5">
        <v>1.3888888888888889E-3</v>
      </c>
      <c r="AB62" s="5">
        <v>5.5555555555555558E-3</v>
      </c>
      <c r="AC62" s="5">
        <v>0</v>
      </c>
      <c r="AD62" s="5">
        <v>5.5555555555555558E-3</v>
      </c>
      <c r="AE62" s="5">
        <v>0</v>
      </c>
      <c r="AF62" s="5">
        <v>0</v>
      </c>
      <c r="AG62" s="5">
        <v>1.6666666666666666E-2</v>
      </c>
      <c r="AH62" s="5">
        <v>2.5000000000000001E-2</v>
      </c>
      <c r="AI62" s="2"/>
      <c r="AJ62" s="1">
        <v>2</v>
      </c>
      <c r="AK62" s="1">
        <f t="shared" si="12"/>
        <v>31</v>
      </c>
      <c r="AL62" s="10">
        <v>6.9444444444444441E-3</v>
      </c>
      <c r="AM62" s="1">
        <f t="shared" si="1"/>
        <v>8</v>
      </c>
      <c r="AN62" s="13">
        <f t="shared" si="13"/>
        <v>0.25806451612903225</v>
      </c>
      <c r="AO62" s="14">
        <f t="shared" si="14"/>
        <v>0</v>
      </c>
      <c r="AP62" s="1" t="str">
        <f>VLOOKUP(B62,Hoja3!$A$1:$B$14,2,0)</f>
        <v>CESADO</v>
      </c>
      <c r="AQ62" s="1" t="str">
        <f t="shared" si="6"/>
        <v>YAEL ALARCON</v>
      </c>
      <c r="AR62" s="1">
        <f t="shared" si="4"/>
        <v>18</v>
      </c>
      <c r="AS62" s="1" t="str">
        <f t="shared" si="5"/>
        <v>ALARCON MONTALVAN</v>
      </c>
      <c r="AT62" s="1">
        <f t="shared" si="7"/>
        <v>8</v>
      </c>
      <c r="AU62" s="1" t="str">
        <f t="shared" si="8"/>
        <v>YAEL ASHLEY</v>
      </c>
      <c r="AV62" s="1">
        <f t="shared" si="9"/>
        <v>5</v>
      </c>
    </row>
    <row r="63" spans="1:48">
      <c r="A63" s="2" t="s">
        <v>81</v>
      </c>
      <c r="B63" s="2" t="s">
        <v>82</v>
      </c>
      <c r="C63" s="2" t="s">
        <v>83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4.8611111111111112E-3</v>
      </c>
      <c r="J63" s="5">
        <v>7.6388888888888886E-3</v>
      </c>
      <c r="K63" s="5">
        <v>0</v>
      </c>
      <c r="L63" s="2" t="s">
        <v>49</v>
      </c>
      <c r="M63" s="5">
        <v>0</v>
      </c>
      <c r="N63" s="5">
        <v>1.3888888888888889E-3</v>
      </c>
      <c r="O63" s="5">
        <v>2.0833333333333333E-3</v>
      </c>
      <c r="P63" s="5">
        <v>9.7222222222222224E-3</v>
      </c>
      <c r="Q63" s="5">
        <v>9.7222222222222224E-3</v>
      </c>
      <c r="R63" s="5">
        <v>0</v>
      </c>
      <c r="S63" s="5">
        <v>1.2500000000000001E-2</v>
      </c>
      <c r="T63" s="2" t="s">
        <v>49</v>
      </c>
      <c r="U63" s="2" t="s">
        <v>49</v>
      </c>
      <c r="V63" s="2" t="s">
        <v>49</v>
      </c>
      <c r="W63" s="2" t="s">
        <v>49</v>
      </c>
      <c r="X63" s="2" t="s">
        <v>49</v>
      </c>
      <c r="Y63" s="5">
        <v>0</v>
      </c>
      <c r="Z63" s="5">
        <v>6.9444444444444441E-3</v>
      </c>
      <c r="AA63" s="5">
        <v>0</v>
      </c>
      <c r="AB63" s="5">
        <v>4.1666666666666666E-3</v>
      </c>
      <c r="AC63" s="2" t="s">
        <v>49</v>
      </c>
      <c r="AD63" s="2" t="s">
        <v>49</v>
      </c>
      <c r="AE63" s="5">
        <v>7.6388888888888886E-3</v>
      </c>
      <c r="AF63" s="5">
        <v>0</v>
      </c>
      <c r="AG63" s="2" t="s">
        <v>6</v>
      </c>
      <c r="AH63" s="2" t="s">
        <v>6</v>
      </c>
      <c r="AI63" s="2"/>
      <c r="AJ63" s="1">
        <v>2</v>
      </c>
      <c r="AK63" s="1">
        <f t="shared" si="12"/>
        <v>31</v>
      </c>
      <c r="AL63" s="10">
        <v>6.9444444444444441E-3</v>
      </c>
      <c r="AM63" s="1">
        <f t="shared" si="1"/>
        <v>5</v>
      </c>
      <c r="AN63" s="13">
        <f t="shared" si="13"/>
        <v>0.16129032258064516</v>
      </c>
      <c r="AO63" s="14">
        <f t="shared" si="14"/>
        <v>8</v>
      </c>
      <c r="AP63" s="1" t="s">
        <v>203</v>
      </c>
      <c r="AQ63" s="1" t="str">
        <f t="shared" si="6"/>
        <v>JORGE CORDOVA</v>
      </c>
      <c r="AR63" s="1">
        <f t="shared" si="4"/>
        <v>17</v>
      </c>
      <c r="AS63" s="1" t="str">
        <f t="shared" si="5"/>
        <v>CORDOVA ZEVALLOS</v>
      </c>
      <c r="AT63" s="1">
        <f t="shared" si="7"/>
        <v>8</v>
      </c>
      <c r="AU63" s="1" t="str">
        <f t="shared" si="8"/>
        <v>JORGE ENRIQUE</v>
      </c>
      <c r="AV63" s="1">
        <f t="shared" si="9"/>
        <v>6</v>
      </c>
    </row>
    <row r="64" spans="1:48">
      <c r="A64" s="2" t="s">
        <v>3</v>
      </c>
      <c r="B64" s="2" t="s">
        <v>4</v>
      </c>
      <c r="C64" s="2" t="s">
        <v>5</v>
      </c>
      <c r="D64" s="5">
        <v>2.5000000000000001E-2</v>
      </c>
      <c r="E64" s="5">
        <v>2.8472222222222222E-2</v>
      </c>
      <c r="F64" s="5">
        <v>1.4583333333333334E-2</v>
      </c>
      <c r="G64" s="5">
        <v>0</v>
      </c>
      <c r="H64" s="5">
        <v>0</v>
      </c>
      <c r="I64" s="5">
        <v>1.9444444444444445E-2</v>
      </c>
      <c r="J64" s="5">
        <v>2.5694444444444443E-2</v>
      </c>
      <c r="K64" s="5">
        <v>9.0277777777777769E-3</v>
      </c>
      <c r="L64" s="5">
        <v>2.0833333333333332E-2</v>
      </c>
      <c r="M64" s="5">
        <v>2.5000000000000001E-2</v>
      </c>
      <c r="N64" s="5">
        <v>1.1111111111111112E-2</v>
      </c>
      <c r="O64" s="5">
        <v>0</v>
      </c>
      <c r="P64" s="5">
        <v>2.7777777777777776E-2</v>
      </c>
      <c r="Q64" s="5">
        <v>2.5694444444444443E-2</v>
      </c>
      <c r="R64" s="5">
        <v>1.4583333333333334E-2</v>
      </c>
      <c r="S64" s="2" t="s">
        <v>49</v>
      </c>
      <c r="T64" s="5">
        <v>1.4583333333333334E-2</v>
      </c>
      <c r="U64" s="5">
        <v>6.9444444444444447E-4</v>
      </c>
      <c r="V64" s="5">
        <v>0</v>
      </c>
      <c r="W64" s="5">
        <v>2.7777777777777776E-2</v>
      </c>
      <c r="X64" s="5">
        <v>1.8749999999999999E-2</v>
      </c>
      <c r="Y64" s="5">
        <v>3.9583333333333331E-2</v>
      </c>
      <c r="Z64" s="5">
        <v>1.9444444444444445E-2</v>
      </c>
      <c r="AA64" s="5">
        <v>1.8749999999999999E-2</v>
      </c>
      <c r="AB64" s="5">
        <v>0</v>
      </c>
      <c r="AC64" s="5">
        <v>0</v>
      </c>
      <c r="AD64" s="5">
        <v>3.6111111111111108E-2</v>
      </c>
      <c r="AE64" s="5">
        <v>3.125E-2</v>
      </c>
      <c r="AF64" s="6">
        <v>0</v>
      </c>
      <c r="AJ64" s="1">
        <v>3</v>
      </c>
      <c r="AK64" s="1">
        <f t="shared" si="12"/>
        <v>29</v>
      </c>
      <c r="AL64" s="10">
        <v>6.9444444444444441E-3</v>
      </c>
      <c r="AM64" s="1">
        <f t="shared" si="1"/>
        <v>20</v>
      </c>
      <c r="AN64" s="13">
        <f t="shared" si="13"/>
        <v>0.68965517241379315</v>
      </c>
      <c r="AO64" s="14">
        <f t="shared" si="14"/>
        <v>1</v>
      </c>
      <c r="AP64" s="1" t="s">
        <v>203</v>
      </c>
      <c r="AQ64" s="1" t="str">
        <f t="shared" si="6"/>
        <v>ROCIO CACERES</v>
      </c>
      <c r="AR64" s="1">
        <f t="shared" si="4"/>
        <v>16</v>
      </c>
      <c r="AS64" s="1" t="str">
        <f t="shared" si="5"/>
        <v>CACERES CORDOVA</v>
      </c>
      <c r="AT64" s="1">
        <f t="shared" si="7"/>
        <v>8</v>
      </c>
      <c r="AU64" s="1" t="str">
        <f t="shared" si="8"/>
        <v>ROCIO SANDRA</v>
      </c>
      <c r="AV64" s="1">
        <f t="shared" si="9"/>
        <v>6</v>
      </c>
    </row>
    <row r="65" spans="1:48">
      <c r="A65" s="2" t="s">
        <v>8</v>
      </c>
      <c r="B65" s="2" t="s">
        <v>9</v>
      </c>
      <c r="C65" s="2" t="s">
        <v>10</v>
      </c>
      <c r="D65" s="5">
        <v>2.9166666666666667E-2</v>
      </c>
      <c r="E65" s="5">
        <v>1.4583333333333334E-2</v>
      </c>
      <c r="F65" s="5">
        <v>2.2916666666666665E-2</v>
      </c>
      <c r="G65" s="5">
        <v>1.9444444444444445E-2</v>
      </c>
      <c r="H65" s="5">
        <v>0</v>
      </c>
      <c r="I65" s="5">
        <v>2.7777777777777776E-2</v>
      </c>
      <c r="J65" s="5">
        <v>2.9166666666666667E-2</v>
      </c>
      <c r="K65" s="2" t="s">
        <v>67</v>
      </c>
      <c r="L65" s="5">
        <v>1.5972222222222221E-2</v>
      </c>
      <c r="M65" s="2" t="s">
        <v>110</v>
      </c>
      <c r="N65" s="5">
        <v>1.8749999999999999E-2</v>
      </c>
      <c r="O65" s="5">
        <v>0</v>
      </c>
      <c r="P65" s="5">
        <v>3.4722222222222224E-2</v>
      </c>
      <c r="Q65" s="5">
        <v>3.7499999999999999E-2</v>
      </c>
      <c r="R65" s="5">
        <v>1.1805555555555555E-2</v>
      </c>
      <c r="S65" s="5">
        <v>2.7083333333333334E-2</v>
      </c>
      <c r="T65" s="5">
        <v>2.2916666666666665E-2</v>
      </c>
      <c r="U65" s="5">
        <v>2.361111111111111E-2</v>
      </c>
      <c r="V65" s="5">
        <v>0</v>
      </c>
      <c r="W65" s="5">
        <v>2.5000000000000001E-2</v>
      </c>
      <c r="X65" s="5">
        <v>1.2500000000000001E-2</v>
      </c>
      <c r="Y65" s="5">
        <v>1.4583333333333334E-2</v>
      </c>
      <c r="Z65" s="5">
        <v>2.5000000000000001E-2</v>
      </c>
      <c r="AA65" s="5">
        <v>2.2916666666666665E-2</v>
      </c>
      <c r="AB65" s="5">
        <v>6.9444444444444441E-3</v>
      </c>
      <c r="AC65" s="5">
        <v>0</v>
      </c>
      <c r="AD65" s="5">
        <v>3.9583333333333331E-2</v>
      </c>
      <c r="AE65" s="5">
        <v>2.9166666666666667E-2</v>
      </c>
      <c r="AF65" s="6">
        <v>0</v>
      </c>
      <c r="AJ65" s="1">
        <v>3</v>
      </c>
      <c r="AK65" s="1">
        <f t="shared" si="12"/>
        <v>29</v>
      </c>
      <c r="AL65" s="10">
        <v>6.9444444444444441E-3</v>
      </c>
      <c r="AM65" s="1">
        <f t="shared" si="1"/>
        <v>21</v>
      </c>
      <c r="AN65" s="13">
        <f t="shared" si="13"/>
        <v>0.72413793103448276</v>
      </c>
      <c r="AO65" s="14">
        <f t="shared" si="14"/>
        <v>0</v>
      </c>
      <c r="AP65" s="1" t="s">
        <v>203</v>
      </c>
      <c r="AQ65" s="1" t="str">
        <f t="shared" si="6"/>
        <v>LOURDES LLANOS</v>
      </c>
      <c r="AR65" s="1">
        <f t="shared" si="4"/>
        <v>13</v>
      </c>
      <c r="AS65" s="1" t="str">
        <f t="shared" si="5"/>
        <v>LLANOS YAURI</v>
      </c>
      <c r="AT65" s="1">
        <f t="shared" si="7"/>
        <v>7</v>
      </c>
      <c r="AU65" s="1" t="str">
        <f t="shared" si="8"/>
        <v>LOURDES LUCIA</v>
      </c>
      <c r="AV65" s="1">
        <f t="shared" si="9"/>
        <v>8</v>
      </c>
    </row>
    <row r="66" spans="1:48">
      <c r="A66" s="2" t="s">
        <v>11</v>
      </c>
      <c r="B66" s="2" t="s">
        <v>12</v>
      </c>
      <c r="C66" s="2" t="s">
        <v>13</v>
      </c>
      <c r="D66" s="5">
        <v>8.3333333333333332E-3</v>
      </c>
      <c r="E66" s="5">
        <v>1.7361111111111112E-2</v>
      </c>
      <c r="F66" s="5">
        <v>3.0555555555555555E-2</v>
      </c>
      <c r="G66" s="5">
        <v>9.7222222222222224E-3</v>
      </c>
      <c r="H66" s="5">
        <v>0</v>
      </c>
      <c r="I66" s="5">
        <v>7.6388888888888886E-3</v>
      </c>
      <c r="J66" s="5">
        <v>2.1527777777777778E-2</v>
      </c>
      <c r="K66" s="5">
        <v>9.0277777777777769E-3</v>
      </c>
      <c r="L66" s="5">
        <v>1.5277777777777777E-2</v>
      </c>
      <c r="M66" s="5">
        <v>1.2500000000000001E-2</v>
      </c>
      <c r="N66" s="5">
        <v>9.0277777777777769E-3</v>
      </c>
      <c r="O66" s="5">
        <v>0</v>
      </c>
      <c r="P66" s="5">
        <v>2.013888888888889E-2</v>
      </c>
      <c r="Q66" s="5">
        <v>9.7222222222222224E-3</v>
      </c>
      <c r="R66" s="5">
        <v>6.2500000000000003E-3</v>
      </c>
      <c r="S66" s="5">
        <v>1.5972222222222221E-2</v>
      </c>
      <c r="T66" s="5">
        <v>3.125E-2</v>
      </c>
      <c r="U66" s="5">
        <v>9.0277777777777769E-3</v>
      </c>
      <c r="V66" s="5">
        <v>0</v>
      </c>
      <c r="W66" s="5">
        <v>6.9444444444444441E-3</v>
      </c>
      <c r="X66" s="5">
        <v>2.6388888888888889E-2</v>
      </c>
      <c r="Y66" s="5">
        <v>1.5972222222222221E-2</v>
      </c>
      <c r="Z66" s="2" t="s">
        <v>183</v>
      </c>
      <c r="AA66" s="5">
        <v>2.0833333333333333E-3</v>
      </c>
      <c r="AB66" s="5">
        <v>1.1805555555555555E-2</v>
      </c>
      <c r="AC66" s="5">
        <v>0</v>
      </c>
      <c r="AD66" s="5">
        <v>1.2500000000000001E-2</v>
      </c>
      <c r="AE66" s="5">
        <v>2.1527777777777778E-2</v>
      </c>
      <c r="AF66" s="6">
        <v>0</v>
      </c>
      <c r="AJ66" s="1">
        <v>3</v>
      </c>
      <c r="AK66" s="1">
        <f t="shared" si="12"/>
        <v>29</v>
      </c>
      <c r="AL66" s="10">
        <v>6.9444444444444441E-3</v>
      </c>
      <c r="AM66" s="1">
        <f t="shared" ref="AM66:AM129" si="16">COUNTIF(D66:AI66, "&gt;00:10")</f>
        <v>20</v>
      </c>
      <c r="AN66" s="13">
        <f t="shared" si="13"/>
        <v>0.68965517241379315</v>
      </c>
      <c r="AO66" s="14">
        <f t="shared" si="14"/>
        <v>0</v>
      </c>
      <c r="AP66" s="1" t="s">
        <v>203</v>
      </c>
      <c r="AQ66" s="1" t="str">
        <f t="shared" ref="AQ66:AQ67" si="17">CONCATENATE(AU66," ",(MID(AS66,1,AT66-1)))</f>
        <v>MARIELLA TICLLA</v>
      </c>
      <c r="AR66" s="1">
        <f t="shared" ref="AR66:AR129" si="18">SEARCH(",",B66)</f>
        <v>13</v>
      </c>
      <c r="AS66" s="1" t="str">
        <f t="shared" ref="AS66:AS129" si="19">MID(B66,1,AR66-1)</f>
        <v>TICLLA RAMOS</v>
      </c>
      <c r="AT66" s="1">
        <f t="shared" si="7"/>
        <v>7</v>
      </c>
      <c r="AU66" s="1" t="str">
        <f t="shared" si="8"/>
        <v>MARIELLA</v>
      </c>
      <c r="AV66" s="1" t="e">
        <f t="shared" si="9"/>
        <v>#VALUE!</v>
      </c>
    </row>
    <row r="67" spans="1:48">
      <c r="A67" s="2" t="s">
        <v>14</v>
      </c>
      <c r="B67" s="2" t="s">
        <v>15</v>
      </c>
      <c r="C67" s="2" t="s">
        <v>16</v>
      </c>
      <c r="D67" s="5">
        <v>0</v>
      </c>
      <c r="E67" s="5">
        <v>3.472222222222222E-3</v>
      </c>
      <c r="F67" s="2" t="s">
        <v>49</v>
      </c>
      <c r="G67" s="2" t="s">
        <v>49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2.7777777777777779E-3</v>
      </c>
      <c r="O67" s="5">
        <v>0</v>
      </c>
      <c r="P67" s="5">
        <v>0</v>
      </c>
      <c r="Q67" s="5">
        <v>4.1666666666666666E-3</v>
      </c>
      <c r="R67" s="5">
        <v>9.7222222222222224E-3</v>
      </c>
      <c r="S67" s="5">
        <v>6.2500000000000003E-3</v>
      </c>
      <c r="T67" s="5">
        <v>6.2500000000000003E-3</v>
      </c>
      <c r="U67" s="5">
        <v>9.7222222222222224E-3</v>
      </c>
      <c r="V67" s="5">
        <v>0</v>
      </c>
      <c r="W67" s="5">
        <v>4.1666666666666666E-3</v>
      </c>
      <c r="X67" s="5">
        <v>3.472222222222222E-3</v>
      </c>
      <c r="Y67" s="5">
        <v>0</v>
      </c>
      <c r="Z67" s="5">
        <v>1.1805555555555555E-2</v>
      </c>
      <c r="AA67" s="5">
        <v>5.5555555555555558E-3</v>
      </c>
      <c r="AB67" s="5">
        <v>0</v>
      </c>
      <c r="AC67" s="5">
        <v>0</v>
      </c>
      <c r="AD67" s="5">
        <v>7.6388888888888886E-3</v>
      </c>
      <c r="AE67" s="5">
        <v>9.7222222222222224E-3</v>
      </c>
      <c r="AF67" s="6">
        <v>0</v>
      </c>
      <c r="AJ67" s="1">
        <v>3</v>
      </c>
      <c r="AK67" s="1">
        <f t="shared" si="12"/>
        <v>29</v>
      </c>
      <c r="AL67" s="10">
        <v>6.9444444444444441E-3</v>
      </c>
      <c r="AM67" s="1">
        <f t="shared" si="16"/>
        <v>5</v>
      </c>
      <c r="AN67" s="13">
        <f t="shared" si="13"/>
        <v>0.17241379310344829</v>
      </c>
      <c r="AO67" s="14">
        <f t="shared" si="14"/>
        <v>2</v>
      </c>
      <c r="AP67" s="1" t="s">
        <v>203</v>
      </c>
      <c r="AQ67" s="1" t="str">
        <f t="shared" si="17"/>
        <v>RICHARD PARIONA</v>
      </c>
      <c r="AR67" s="1">
        <f t="shared" si="18"/>
        <v>14</v>
      </c>
      <c r="AS67" s="1" t="str">
        <f t="shared" si="19"/>
        <v>PARIONA ROSAS</v>
      </c>
      <c r="AT67" s="1">
        <f t="shared" ref="AT67:AT130" si="20">SEARCH(" ",AS67)</f>
        <v>8</v>
      </c>
      <c r="AU67" s="1" t="str">
        <f t="shared" ref="AU67:AU130" si="21">MID(B67,AR67+2,90)</f>
        <v>RICHARD</v>
      </c>
      <c r="AV67" s="1" t="e">
        <f t="shared" ref="AV67:AV130" si="22">SEARCH(" ",AU67)</f>
        <v>#VALUE!</v>
      </c>
    </row>
    <row r="68" spans="1:48">
      <c r="A68" s="2" t="s">
        <v>144</v>
      </c>
      <c r="B68" s="2" t="s">
        <v>145</v>
      </c>
      <c r="C68" s="2" t="s">
        <v>146</v>
      </c>
      <c r="D68" s="5">
        <v>1.9444444444444445E-2</v>
      </c>
      <c r="E68" s="5">
        <v>2.0833333333333332E-2</v>
      </c>
      <c r="F68" s="5">
        <v>2.5000000000000001E-2</v>
      </c>
      <c r="G68" s="5">
        <v>1.8749999999999999E-2</v>
      </c>
      <c r="H68" s="5">
        <v>0</v>
      </c>
      <c r="I68" s="5">
        <v>8.3333333333333332E-3</v>
      </c>
      <c r="J68" s="5">
        <v>2.5000000000000001E-2</v>
      </c>
      <c r="K68" s="5">
        <v>2.7083333333333334E-2</v>
      </c>
      <c r="L68" s="5">
        <v>4.0972222222222222E-2</v>
      </c>
      <c r="M68" s="5">
        <v>1.3888888888888888E-2</v>
      </c>
      <c r="N68" s="5">
        <v>1.3194444444444444E-2</v>
      </c>
      <c r="O68" s="5">
        <v>0</v>
      </c>
      <c r="P68" s="5">
        <v>1.1111111111111112E-2</v>
      </c>
      <c r="Q68" s="5">
        <v>2.013888888888889E-2</v>
      </c>
      <c r="R68" s="5">
        <v>5.5555555555555558E-3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6">
        <v>0</v>
      </c>
      <c r="AJ68" s="1">
        <v>3</v>
      </c>
      <c r="AK68" s="1">
        <f t="shared" si="12"/>
        <v>29</v>
      </c>
      <c r="AL68" s="10">
        <v>6.9444444444444441E-3</v>
      </c>
      <c r="AM68" s="1">
        <f t="shared" si="16"/>
        <v>12</v>
      </c>
      <c r="AN68" s="13">
        <f t="shared" si="13"/>
        <v>0.41379310344827586</v>
      </c>
      <c r="AO68" s="14">
        <f t="shared" si="14"/>
        <v>0</v>
      </c>
      <c r="AP68" s="1" t="str">
        <f>VLOOKUP(B68,Hoja3!$A$1:$B$14,2,0)</f>
        <v>CESADO</v>
      </c>
      <c r="AQ68" s="1" t="str">
        <f t="shared" ref="AQ68:AQ130" si="23">CONCATENATE(MID(AU68,1,AV68-1)," ",(MID(AS68,1,AT68-1)))</f>
        <v>YAHAIRA GALINDO</v>
      </c>
      <c r="AR68" s="1">
        <f t="shared" si="18"/>
        <v>13</v>
      </c>
      <c r="AS68" s="1" t="str">
        <f t="shared" si="19"/>
        <v>GALINDO MERA</v>
      </c>
      <c r="AT68" s="1">
        <f t="shared" si="20"/>
        <v>8</v>
      </c>
      <c r="AU68" s="1" t="str">
        <f t="shared" si="21"/>
        <v>YAHAIRA LUZMILA</v>
      </c>
      <c r="AV68" s="1">
        <f t="shared" si="22"/>
        <v>8</v>
      </c>
    </row>
    <row r="69" spans="1:48">
      <c r="A69" s="2" t="s">
        <v>17</v>
      </c>
      <c r="B69" s="2" t="s">
        <v>18</v>
      </c>
      <c r="C69" s="2" t="s">
        <v>19</v>
      </c>
      <c r="D69" s="5">
        <v>1.2500000000000001E-2</v>
      </c>
      <c r="E69" s="5">
        <v>2.7777777777777779E-3</v>
      </c>
      <c r="F69" s="5">
        <v>6.9444444444444447E-4</v>
      </c>
      <c r="G69" s="5">
        <v>3.472222222222222E-3</v>
      </c>
      <c r="H69" s="5">
        <v>0</v>
      </c>
      <c r="I69" s="5">
        <v>1.5277777777777777E-2</v>
      </c>
      <c r="J69" s="5">
        <v>6.9444444444444441E-3</v>
      </c>
      <c r="K69" s="5">
        <v>3.472222222222222E-3</v>
      </c>
      <c r="L69" s="5">
        <v>1.3888888888888888E-2</v>
      </c>
      <c r="M69" s="5">
        <v>3.472222222222222E-3</v>
      </c>
      <c r="N69" s="5">
        <v>0</v>
      </c>
      <c r="O69" s="5">
        <v>0</v>
      </c>
      <c r="P69" s="5">
        <v>6.9444444444444447E-4</v>
      </c>
      <c r="Q69" s="5">
        <v>2.7777777777777779E-3</v>
      </c>
      <c r="R69" s="5">
        <v>2.361111111111111E-2</v>
      </c>
      <c r="S69" s="5">
        <v>1.0416666666666666E-2</v>
      </c>
      <c r="T69" s="5">
        <v>2.2222222222222223E-2</v>
      </c>
      <c r="U69" s="5">
        <v>2.7777777777777779E-3</v>
      </c>
      <c r="V69" s="5">
        <v>0</v>
      </c>
      <c r="W69" s="5">
        <v>5.5555555555555558E-3</v>
      </c>
      <c r="X69" s="5">
        <v>9.7222222222222224E-3</v>
      </c>
      <c r="Y69" s="5">
        <v>0</v>
      </c>
      <c r="Z69" s="5">
        <v>1.1805555555555555E-2</v>
      </c>
      <c r="AA69" s="5">
        <v>4.8611111111111112E-3</v>
      </c>
      <c r="AB69" s="5">
        <v>7.6388888888888886E-3</v>
      </c>
      <c r="AC69" s="5">
        <v>0</v>
      </c>
      <c r="AD69" s="5">
        <v>0</v>
      </c>
      <c r="AE69" s="5">
        <v>3.472222222222222E-3</v>
      </c>
      <c r="AF69" s="6">
        <v>0</v>
      </c>
      <c r="AJ69" s="1">
        <v>3</v>
      </c>
      <c r="AK69" s="1">
        <f t="shared" si="12"/>
        <v>29</v>
      </c>
      <c r="AL69" s="10">
        <v>6.9444444444444441E-3</v>
      </c>
      <c r="AM69" s="1">
        <f t="shared" si="16"/>
        <v>9</v>
      </c>
      <c r="AN69" s="13">
        <f t="shared" si="13"/>
        <v>0.31034482758620691</v>
      </c>
      <c r="AO69" s="14">
        <f t="shared" si="14"/>
        <v>0</v>
      </c>
      <c r="AP69" s="1" t="s">
        <v>203</v>
      </c>
      <c r="AQ69" s="1" t="str">
        <f t="shared" si="23"/>
        <v>STEPHEN LLANOS</v>
      </c>
      <c r="AR69" s="1">
        <f t="shared" si="18"/>
        <v>16</v>
      </c>
      <c r="AS69" s="1" t="str">
        <f t="shared" si="19"/>
        <v>LLANOS ANTAURCO</v>
      </c>
      <c r="AT69" s="1">
        <f t="shared" si="20"/>
        <v>7</v>
      </c>
      <c r="AU69" s="1" t="str">
        <f t="shared" si="21"/>
        <v>STEPHEN BORIS</v>
      </c>
      <c r="AV69" s="1">
        <f t="shared" si="22"/>
        <v>8</v>
      </c>
    </row>
    <row r="70" spans="1:48">
      <c r="A70" s="2" t="s">
        <v>20</v>
      </c>
      <c r="B70" s="2" t="s">
        <v>21</v>
      </c>
      <c r="C70" s="2" t="s">
        <v>22</v>
      </c>
      <c r="D70" s="5">
        <v>2.7777777777777776E-2</v>
      </c>
      <c r="E70" s="5">
        <v>1.8749999999999999E-2</v>
      </c>
      <c r="F70" s="5">
        <v>2.2916666666666665E-2</v>
      </c>
      <c r="G70" s="5">
        <v>1.2500000000000001E-2</v>
      </c>
      <c r="H70" s="5">
        <v>0</v>
      </c>
      <c r="I70" s="5">
        <v>1.4583333333333334E-2</v>
      </c>
      <c r="J70" s="5">
        <v>2.4305555555555556E-2</v>
      </c>
      <c r="K70" s="5">
        <v>1.0416666666666666E-2</v>
      </c>
      <c r="L70" s="5">
        <v>2.361111111111111E-2</v>
      </c>
      <c r="M70" s="5">
        <v>1.8055555555555554E-2</v>
      </c>
      <c r="N70" s="5">
        <v>1.2500000000000001E-2</v>
      </c>
      <c r="O70" s="5">
        <v>0</v>
      </c>
      <c r="P70" s="5">
        <v>2.5694444444444443E-2</v>
      </c>
      <c r="Q70" s="5">
        <v>7.6388888888888886E-3</v>
      </c>
      <c r="R70" s="5">
        <v>1.8749999999999999E-2</v>
      </c>
      <c r="S70" s="5">
        <v>1.1111111111111112E-2</v>
      </c>
      <c r="T70" s="5">
        <v>1.4583333333333334E-2</v>
      </c>
      <c r="U70" s="5">
        <v>2.5000000000000001E-2</v>
      </c>
      <c r="V70" s="5">
        <v>0</v>
      </c>
      <c r="W70" s="5">
        <v>1.6666666666666666E-2</v>
      </c>
      <c r="X70" s="5">
        <v>1.2500000000000001E-2</v>
      </c>
      <c r="Y70" s="5">
        <v>1.8749999999999999E-2</v>
      </c>
      <c r="Z70" s="5">
        <v>2.2916666666666665E-2</v>
      </c>
      <c r="AA70" s="5">
        <v>2.2916666666666665E-2</v>
      </c>
      <c r="AB70" s="5">
        <v>5.5555555555555558E-3</v>
      </c>
      <c r="AC70" s="5">
        <v>0</v>
      </c>
      <c r="AD70" s="5">
        <v>1.2500000000000001E-2</v>
      </c>
      <c r="AE70" s="5">
        <v>2.7083333333333334E-2</v>
      </c>
      <c r="AF70" s="6">
        <v>0</v>
      </c>
      <c r="AJ70" s="1">
        <v>3</v>
      </c>
      <c r="AK70" s="1">
        <f t="shared" si="12"/>
        <v>29</v>
      </c>
      <c r="AL70" s="10">
        <v>6.9444444444444441E-3</v>
      </c>
      <c r="AM70" s="1">
        <f t="shared" si="16"/>
        <v>23</v>
      </c>
      <c r="AN70" s="13">
        <f t="shared" si="13"/>
        <v>0.7931034482758621</v>
      </c>
      <c r="AO70" s="14">
        <f t="shared" si="14"/>
        <v>0</v>
      </c>
      <c r="AP70" s="1" t="s">
        <v>203</v>
      </c>
      <c r="AQ70" s="1" t="str">
        <f t="shared" si="23"/>
        <v>LUZ CCAMA</v>
      </c>
      <c r="AR70" s="1">
        <f t="shared" si="18"/>
        <v>12</v>
      </c>
      <c r="AS70" s="1" t="str">
        <f t="shared" si="19"/>
        <v>CCAMA ARONI</v>
      </c>
      <c r="AT70" s="1">
        <f t="shared" si="20"/>
        <v>6</v>
      </c>
      <c r="AU70" s="1" t="str">
        <f t="shared" si="21"/>
        <v>LUZ MIRELLA</v>
      </c>
      <c r="AV70" s="1">
        <f t="shared" si="22"/>
        <v>4</v>
      </c>
    </row>
    <row r="71" spans="1:48">
      <c r="A71" s="2" t="s">
        <v>23</v>
      </c>
      <c r="B71" s="2" t="s">
        <v>24</v>
      </c>
      <c r="C71" s="2" t="s">
        <v>25</v>
      </c>
      <c r="D71" s="5">
        <v>2.0833333333333332E-2</v>
      </c>
      <c r="E71" s="5">
        <v>2.6388888888888889E-2</v>
      </c>
      <c r="F71" s="5">
        <v>2.2222222222222223E-2</v>
      </c>
      <c r="G71" s="5">
        <v>1.5972222222222221E-2</v>
      </c>
      <c r="H71" s="5">
        <v>0</v>
      </c>
      <c r="I71" s="5">
        <v>1.7361111111111112E-2</v>
      </c>
      <c r="J71" s="5">
        <v>8.3333333333333332E-3</v>
      </c>
      <c r="K71" s="5">
        <v>2.0833333333333332E-2</v>
      </c>
      <c r="L71" s="5">
        <v>1.4583333333333334E-2</v>
      </c>
      <c r="M71" s="5">
        <v>1.2500000000000001E-2</v>
      </c>
      <c r="N71" s="5">
        <v>1.7361111111111112E-2</v>
      </c>
      <c r="O71" s="5">
        <v>0</v>
      </c>
      <c r="P71" s="5">
        <v>2.9166666666666667E-2</v>
      </c>
      <c r="Q71" s="5">
        <v>4.1666666666666666E-3</v>
      </c>
      <c r="R71" s="5">
        <v>1.0416666666666666E-2</v>
      </c>
      <c r="S71" s="5">
        <v>2.2222222222222223E-2</v>
      </c>
      <c r="T71" s="5">
        <v>1.4583333333333334E-2</v>
      </c>
      <c r="U71" s="5">
        <v>1.1111111111111112E-2</v>
      </c>
      <c r="V71" s="5">
        <v>0</v>
      </c>
      <c r="W71" s="5">
        <v>1.1805555555555555E-2</v>
      </c>
      <c r="X71" s="5">
        <v>7.6388888888888886E-3</v>
      </c>
      <c r="Y71" s="5">
        <v>1.4583333333333334E-2</v>
      </c>
      <c r="Z71" s="5">
        <v>1.4583333333333334E-2</v>
      </c>
      <c r="AA71" s="5">
        <v>1.8749999999999999E-2</v>
      </c>
      <c r="AB71" s="5">
        <v>4.1666666666666666E-3</v>
      </c>
      <c r="AC71" s="5">
        <v>0</v>
      </c>
      <c r="AD71" s="5">
        <v>9.0277777777777769E-3</v>
      </c>
      <c r="AE71" s="5">
        <v>1.8749999999999999E-2</v>
      </c>
      <c r="AF71" s="6">
        <v>0</v>
      </c>
      <c r="AJ71" s="1">
        <v>3</v>
      </c>
      <c r="AK71" s="1">
        <f t="shared" si="12"/>
        <v>29</v>
      </c>
      <c r="AL71" s="10">
        <v>6.9444444444444441E-3</v>
      </c>
      <c r="AM71" s="1">
        <f t="shared" si="16"/>
        <v>22</v>
      </c>
      <c r="AN71" s="13">
        <f t="shared" si="13"/>
        <v>0.75862068965517238</v>
      </c>
      <c r="AO71" s="14">
        <f t="shared" si="14"/>
        <v>0</v>
      </c>
      <c r="AP71" s="1" t="s">
        <v>201</v>
      </c>
      <c r="AQ71" s="1" t="str">
        <f t="shared" si="23"/>
        <v>ANDREA CAYCHO</v>
      </c>
      <c r="AR71" s="1">
        <f t="shared" si="18"/>
        <v>14</v>
      </c>
      <c r="AS71" s="1" t="str">
        <f t="shared" si="19"/>
        <v>CAYCHO HUANCA</v>
      </c>
      <c r="AT71" s="1">
        <f t="shared" si="20"/>
        <v>7</v>
      </c>
      <c r="AU71" s="1" t="str">
        <f t="shared" si="21"/>
        <v>ANDREA ALESSANDRA</v>
      </c>
      <c r="AV71" s="1">
        <f t="shared" si="22"/>
        <v>7</v>
      </c>
    </row>
    <row r="72" spans="1:48">
      <c r="A72" s="2" t="s">
        <v>106</v>
      </c>
      <c r="B72" s="2" t="s">
        <v>107</v>
      </c>
      <c r="C72" s="2" t="s">
        <v>108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2" t="s">
        <v>49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6">
        <v>0</v>
      </c>
      <c r="AJ72" s="1">
        <v>3</v>
      </c>
      <c r="AK72" s="1">
        <f t="shared" si="12"/>
        <v>29</v>
      </c>
      <c r="AL72" s="10">
        <v>6.9444444444444441E-3</v>
      </c>
      <c r="AM72" s="1">
        <f t="shared" si="16"/>
        <v>0</v>
      </c>
      <c r="AN72" s="13">
        <f t="shared" si="13"/>
        <v>0</v>
      </c>
      <c r="AO72" s="14">
        <f t="shared" si="14"/>
        <v>1</v>
      </c>
      <c r="AP72" s="1" t="str">
        <f>VLOOKUP(B72,Hoja3!$A$1:$B$14,2,0)</f>
        <v>CESADO</v>
      </c>
      <c r="AQ72" s="1" t="str">
        <f t="shared" si="23"/>
        <v>ROCIO PAREDES</v>
      </c>
      <c r="AR72" s="1">
        <f t="shared" si="18"/>
        <v>16</v>
      </c>
      <c r="AS72" s="1" t="str">
        <f t="shared" si="19"/>
        <v>PAREDES GUILLEN</v>
      </c>
      <c r="AT72" s="1">
        <f t="shared" si="20"/>
        <v>8</v>
      </c>
      <c r="AU72" s="1" t="str">
        <f t="shared" si="21"/>
        <v>ROCIO NOEMI</v>
      </c>
      <c r="AV72" s="1">
        <f t="shared" si="22"/>
        <v>6</v>
      </c>
    </row>
    <row r="73" spans="1:48">
      <c r="A73" s="2" t="s">
        <v>148</v>
      </c>
      <c r="B73" s="2" t="s">
        <v>149</v>
      </c>
      <c r="C73" s="2" t="s">
        <v>150</v>
      </c>
      <c r="D73" s="5">
        <v>0</v>
      </c>
      <c r="E73" s="5">
        <v>0</v>
      </c>
      <c r="F73" s="5">
        <v>9.0277777777777769E-3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6">
        <v>0</v>
      </c>
      <c r="AJ73" s="1">
        <v>3</v>
      </c>
      <c r="AK73" s="1">
        <f t="shared" si="12"/>
        <v>29</v>
      </c>
      <c r="AL73" s="10">
        <v>6.9444444444444441E-3</v>
      </c>
      <c r="AM73" s="1">
        <f t="shared" si="16"/>
        <v>1</v>
      </c>
      <c r="AN73" s="13">
        <f t="shared" si="13"/>
        <v>3.4482758620689655E-2</v>
      </c>
      <c r="AO73" s="14">
        <f t="shared" si="14"/>
        <v>0</v>
      </c>
      <c r="AP73" s="1" t="str">
        <f>VLOOKUP(B73,Hoja3!$A$1:$B$14,2,0)</f>
        <v>CESADO</v>
      </c>
      <c r="AQ73" s="1" t="str">
        <f>CONCATENATE(AU73," ",(MID(AS73,1,AT73-1)))</f>
        <v>ROGELIO GUEVARA</v>
      </c>
      <c r="AR73" s="1">
        <f t="shared" si="18"/>
        <v>17</v>
      </c>
      <c r="AS73" s="1" t="str">
        <f t="shared" si="19"/>
        <v>GUEVARA ENRIQUEZ</v>
      </c>
      <c r="AT73" s="1">
        <f t="shared" si="20"/>
        <v>8</v>
      </c>
      <c r="AU73" s="1" t="str">
        <f t="shared" si="21"/>
        <v>ROGELIO</v>
      </c>
      <c r="AV73" s="1" t="e">
        <f t="shared" si="22"/>
        <v>#VALUE!</v>
      </c>
    </row>
    <row r="74" spans="1:48">
      <c r="A74" s="2" t="s">
        <v>151</v>
      </c>
      <c r="B74" s="2" t="s">
        <v>152</v>
      </c>
      <c r="C74" s="2" t="s">
        <v>153</v>
      </c>
      <c r="D74" s="5">
        <v>2.1527777777777778E-2</v>
      </c>
      <c r="E74" s="5">
        <v>1.8749999999999999E-2</v>
      </c>
      <c r="F74" s="5">
        <v>1.4583333333333334E-2</v>
      </c>
      <c r="G74" s="5">
        <v>2.013888888888889E-2</v>
      </c>
      <c r="H74" s="5">
        <v>0</v>
      </c>
      <c r="I74" s="5">
        <v>1.7361111111111112E-2</v>
      </c>
      <c r="J74" s="5">
        <v>1.2500000000000001E-2</v>
      </c>
      <c r="K74" s="5">
        <v>1.6666666666666666E-2</v>
      </c>
      <c r="L74" s="5">
        <v>2.0833333333333332E-2</v>
      </c>
      <c r="M74" s="5">
        <v>1.6666666666666666E-2</v>
      </c>
      <c r="N74" s="5">
        <v>2.5694444444444443E-2</v>
      </c>
      <c r="O74" s="5">
        <v>0</v>
      </c>
      <c r="P74" s="5">
        <v>3.8194444444444448E-2</v>
      </c>
      <c r="Q74" s="5">
        <v>1.8749999999999999E-2</v>
      </c>
      <c r="R74" s="5">
        <v>1.4583333333333334E-2</v>
      </c>
      <c r="S74" s="5">
        <v>2.2916666666666665E-2</v>
      </c>
      <c r="T74" s="5">
        <v>1.0416666666666666E-2</v>
      </c>
      <c r="U74" s="2" t="s">
        <v>184</v>
      </c>
      <c r="V74" s="5">
        <v>0</v>
      </c>
      <c r="W74" s="5">
        <v>2.7083333333333334E-2</v>
      </c>
      <c r="X74" s="5">
        <v>2.8472222222222222E-2</v>
      </c>
      <c r="Y74" s="5">
        <v>2.8472222222222222E-2</v>
      </c>
      <c r="Z74" s="5">
        <v>3.8194444444444448E-2</v>
      </c>
      <c r="AA74" s="5">
        <v>2.5694444444444443E-2</v>
      </c>
      <c r="AB74" s="5">
        <v>5.5555555555555558E-3</v>
      </c>
      <c r="AC74" s="5">
        <v>0</v>
      </c>
      <c r="AD74" s="2" t="s">
        <v>112</v>
      </c>
      <c r="AE74" s="5">
        <v>2.9166666666666667E-2</v>
      </c>
      <c r="AF74" s="6">
        <v>0</v>
      </c>
      <c r="AJ74" s="1">
        <v>3</v>
      </c>
      <c r="AK74" s="1">
        <f t="shared" si="12"/>
        <v>29</v>
      </c>
      <c r="AL74" s="10">
        <v>6.9444444444444441E-3</v>
      </c>
      <c r="AM74" s="1">
        <f t="shared" si="16"/>
        <v>21</v>
      </c>
      <c r="AN74" s="13">
        <f t="shared" si="13"/>
        <v>0.72413793103448276</v>
      </c>
      <c r="AO74" s="14">
        <f t="shared" si="14"/>
        <v>0</v>
      </c>
      <c r="AP74" s="1" t="str">
        <f>VLOOKUP(B74,Hoja3!$A$1:$B$14,2,0)</f>
        <v>CESADO</v>
      </c>
      <c r="AQ74" s="1" t="str">
        <f t="shared" si="23"/>
        <v>SILVIA ASIAN</v>
      </c>
      <c r="AR74" s="1">
        <f t="shared" si="18"/>
        <v>14</v>
      </c>
      <c r="AS74" s="1" t="str">
        <f t="shared" si="19"/>
        <v>ASIAN RAMIREZ</v>
      </c>
      <c r="AT74" s="1">
        <f t="shared" si="20"/>
        <v>6</v>
      </c>
      <c r="AU74" s="1" t="str">
        <f t="shared" si="21"/>
        <v>SILVIA LARITZA</v>
      </c>
      <c r="AV74" s="1">
        <f t="shared" si="22"/>
        <v>7</v>
      </c>
    </row>
    <row r="75" spans="1:48">
      <c r="A75" s="2" t="s">
        <v>26</v>
      </c>
      <c r="B75" s="2" t="s">
        <v>27</v>
      </c>
      <c r="C75" s="2" t="s">
        <v>28</v>
      </c>
      <c r="D75" s="5">
        <v>1.9444444444444445E-2</v>
      </c>
      <c r="E75" s="5">
        <v>2.013888888888889E-2</v>
      </c>
      <c r="F75" s="5">
        <v>1.6666666666666666E-2</v>
      </c>
      <c r="G75" s="5">
        <v>9.7222222222222224E-3</v>
      </c>
      <c r="H75" s="5">
        <v>0</v>
      </c>
      <c r="I75" s="5">
        <v>2.9861111111111113E-2</v>
      </c>
      <c r="J75" s="5">
        <v>2.0833333333333332E-2</v>
      </c>
      <c r="K75" s="5">
        <v>2.2916666666666665E-2</v>
      </c>
      <c r="L75" s="5">
        <v>1.4583333333333334E-2</v>
      </c>
      <c r="M75" s="5">
        <v>1.3194444444444444E-2</v>
      </c>
      <c r="N75" s="5">
        <v>1.7361111111111112E-2</v>
      </c>
      <c r="O75" s="5">
        <v>0</v>
      </c>
      <c r="P75" s="5">
        <v>1.7361111111111112E-2</v>
      </c>
      <c r="Q75" s="5">
        <v>1.2500000000000001E-2</v>
      </c>
      <c r="R75" s="5">
        <v>3.0555555555555555E-2</v>
      </c>
      <c r="S75" s="5">
        <v>1.5972222222222221E-2</v>
      </c>
      <c r="T75" s="5">
        <v>1.0416666666666666E-2</v>
      </c>
      <c r="U75" s="5">
        <v>6.9444444444444441E-3</v>
      </c>
      <c r="V75" s="5">
        <v>0</v>
      </c>
      <c r="W75" s="5">
        <v>1.8055555555555554E-2</v>
      </c>
      <c r="X75" s="5">
        <v>1.2500000000000001E-2</v>
      </c>
      <c r="Y75" s="2" t="s">
        <v>49</v>
      </c>
      <c r="Z75" s="5">
        <v>0</v>
      </c>
      <c r="AA75" s="5">
        <v>1.5972222222222221E-2</v>
      </c>
      <c r="AB75" s="5">
        <v>9.0277777777777769E-3</v>
      </c>
      <c r="AC75" s="5">
        <v>0</v>
      </c>
      <c r="AD75" s="5">
        <v>2.4305555555555556E-2</v>
      </c>
      <c r="AE75" s="5">
        <v>1.6666666666666666E-2</v>
      </c>
      <c r="AF75" s="6">
        <v>0</v>
      </c>
      <c r="AJ75" s="1">
        <v>3</v>
      </c>
      <c r="AK75" s="1">
        <f t="shared" si="12"/>
        <v>29</v>
      </c>
      <c r="AL75" s="10">
        <v>6.9444444444444441E-3</v>
      </c>
      <c r="AM75" s="1">
        <f t="shared" si="16"/>
        <v>21</v>
      </c>
      <c r="AN75" s="13">
        <f t="shared" si="13"/>
        <v>0.72413793103448276</v>
      </c>
      <c r="AO75" s="14">
        <f t="shared" si="14"/>
        <v>1</v>
      </c>
      <c r="AP75" s="1" t="s">
        <v>201</v>
      </c>
      <c r="AQ75" s="1" t="str">
        <f t="shared" si="23"/>
        <v>ANGELICA PRETELL</v>
      </c>
      <c r="AR75" s="1">
        <f t="shared" si="18"/>
        <v>16</v>
      </c>
      <c r="AS75" s="1" t="str">
        <f t="shared" si="19"/>
        <v>PRETELL PINTADO</v>
      </c>
      <c r="AT75" s="1">
        <f t="shared" si="20"/>
        <v>8</v>
      </c>
      <c r="AU75" s="1" t="str">
        <f t="shared" si="21"/>
        <v>ANGELICA DIANA</v>
      </c>
      <c r="AV75" s="1">
        <f t="shared" si="22"/>
        <v>9</v>
      </c>
    </row>
    <row r="76" spans="1:48">
      <c r="A76" s="2" t="s">
        <v>154</v>
      </c>
      <c r="B76" s="2" t="s">
        <v>155</v>
      </c>
      <c r="C76" s="2" t="s">
        <v>156</v>
      </c>
      <c r="D76" s="2" t="s">
        <v>49</v>
      </c>
      <c r="E76" s="2" t="s">
        <v>49</v>
      </c>
      <c r="F76" s="2" t="s">
        <v>49</v>
      </c>
      <c r="G76" s="2" t="s">
        <v>49</v>
      </c>
      <c r="H76" s="5">
        <v>0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49</v>
      </c>
      <c r="N76" s="5">
        <v>4.8611111111111112E-3</v>
      </c>
      <c r="O76" s="5">
        <v>0</v>
      </c>
      <c r="P76" s="5">
        <v>2.2916666666666665E-2</v>
      </c>
      <c r="Q76" s="5">
        <v>0</v>
      </c>
      <c r="R76" s="5">
        <v>2.7777777777777779E-3</v>
      </c>
      <c r="S76" s="5">
        <v>1.4583333333333334E-2</v>
      </c>
      <c r="T76" s="5">
        <v>1.3194444444444444E-2</v>
      </c>
      <c r="U76" s="5">
        <v>1.1111111111111112E-2</v>
      </c>
      <c r="V76" s="5">
        <v>0</v>
      </c>
      <c r="W76" s="5">
        <v>2.0833333333333333E-3</v>
      </c>
      <c r="X76" s="5">
        <v>3.6111111111111108E-2</v>
      </c>
      <c r="Y76" s="5">
        <v>7.6388888888888886E-3</v>
      </c>
      <c r="Z76" s="5">
        <v>2.2222222222222223E-2</v>
      </c>
      <c r="AA76" s="5">
        <v>0</v>
      </c>
      <c r="AB76" s="5">
        <v>1.7361111111111112E-2</v>
      </c>
      <c r="AC76" s="5">
        <v>0</v>
      </c>
      <c r="AD76" s="5">
        <v>2.1527777777777778E-2</v>
      </c>
      <c r="AE76" s="5">
        <v>4.1666666666666666E-3</v>
      </c>
      <c r="AF76" s="6">
        <v>0</v>
      </c>
      <c r="AJ76" s="1">
        <v>3</v>
      </c>
      <c r="AK76" s="1">
        <f t="shared" si="12"/>
        <v>29</v>
      </c>
      <c r="AL76" s="10">
        <v>6.9444444444444441E-3</v>
      </c>
      <c r="AM76" s="1">
        <f t="shared" si="16"/>
        <v>9</v>
      </c>
      <c r="AN76" s="13">
        <f t="shared" si="13"/>
        <v>0.31034482758620691</v>
      </c>
      <c r="AO76" s="14">
        <f t="shared" si="14"/>
        <v>9</v>
      </c>
      <c r="AP76" s="1" t="str">
        <f>VLOOKUP(B76,Hoja3!$A$1:$B$14,2,0)</f>
        <v>CESADO</v>
      </c>
      <c r="AQ76" s="1" t="str">
        <f t="shared" si="23"/>
        <v>SAMANTHA TENORIO</v>
      </c>
      <c r="AR76" s="1">
        <f t="shared" si="18"/>
        <v>14</v>
      </c>
      <c r="AS76" s="1" t="str">
        <f t="shared" si="19"/>
        <v>TENORIO FELIX</v>
      </c>
      <c r="AT76" s="1">
        <f t="shared" si="20"/>
        <v>8</v>
      </c>
      <c r="AU76" s="1" t="str">
        <f t="shared" si="21"/>
        <v>SAMANTHA NICOLLE</v>
      </c>
      <c r="AV76" s="1">
        <f t="shared" si="22"/>
        <v>9</v>
      </c>
    </row>
    <row r="77" spans="1:48">
      <c r="A77" s="2" t="s">
        <v>29</v>
      </c>
      <c r="B77" s="2" t="s">
        <v>30</v>
      </c>
      <c r="C77" s="2" t="s">
        <v>31</v>
      </c>
      <c r="D77" s="5">
        <v>0</v>
      </c>
      <c r="E77" s="5">
        <v>1.6666666666666666E-2</v>
      </c>
      <c r="F77" s="5">
        <v>1.7361111111111112E-2</v>
      </c>
      <c r="G77" s="5">
        <v>1.3888888888888888E-2</v>
      </c>
      <c r="H77" s="5">
        <v>0</v>
      </c>
      <c r="I77" s="5">
        <v>1.1111111111111112E-2</v>
      </c>
      <c r="J77" s="5">
        <v>3.3333333333333333E-2</v>
      </c>
      <c r="K77" s="5">
        <v>1.6666666666666666E-2</v>
      </c>
      <c r="L77" s="5">
        <v>0</v>
      </c>
      <c r="M77" s="5">
        <v>6.9444444444444441E-3</v>
      </c>
      <c r="N77" s="5">
        <v>1.3194444444444444E-2</v>
      </c>
      <c r="O77" s="5">
        <v>0</v>
      </c>
      <c r="P77" s="5">
        <v>1.9444444444444445E-2</v>
      </c>
      <c r="Q77" s="5">
        <v>2.2222222222222223E-2</v>
      </c>
      <c r="R77" s="5">
        <v>1.0416666666666666E-2</v>
      </c>
      <c r="S77" s="5">
        <v>2.0833333333333332E-2</v>
      </c>
      <c r="T77" s="5">
        <v>1.7361111111111112E-2</v>
      </c>
      <c r="U77" s="5">
        <v>4.1666666666666666E-3</v>
      </c>
      <c r="V77" s="5">
        <v>0</v>
      </c>
      <c r="W77" s="5">
        <v>1.3888888888888888E-2</v>
      </c>
      <c r="X77" s="5">
        <v>0</v>
      </c>
      <c r="Y77" s="5">
        <v>0</v>
      </c>
      <c r="Z77" s="5">
        <v>0</v>
      </c>
      <c r="AA77" s="5">
        <v>6.9444444444444447E-4</v>
      </c>
      <c r="AB77" s="5">
        <v>0</v>
      </c>
      <c r="AC77" s="5">
        <v>0</v>
      </c>
      <c r="AD77" s="5">
        <v>0</v>
      </c>
      <c r="AE77" s="5">
        <v>0</v>
      </c>
      <c r="AF77" s="6">
        <v>0</v>
      </c>
      <c r="AJ77" s="1">
        <v>3</v>
      </c>
      <c r="AK77" s="1">
        <f t="shared" si="12"/>
        <v>29</v>
      </c>
      <c r="AL77" s="10">
        <v>6.9444444444444441E-3</v>
      </c>
      <c r="AM77" s="1">
        <f t="shared" si="16"/>
        <v>13</v>
      </c>
      <c r="AN77" s="13">
        <f t="shared" si="13"/>
        <v>0.44827586206896552</v>
      </c>
      <c r="AO77" s="14">
        <f t="shared" si="14"/>
        <v>0</v>
      </c>
      <c r="AP77" s="1" t="s">
        <v>203</v>
      </c>
      <c r="AQ77" s="1" t="str">
        <f t="shared" si="23"/>
        <v>CARLOS LOPEZ</v>
      </c>
      <c r="AR77" s="1">
        <f t="shared" si="18"/>
        <v>13</v>
      </c>
      <c r="AS77" s="1" t="str">
        <f t="shared" si="19"/>
        <v>LOPEZ FARIAS</v>
      </c>
      <c r="AT77" s="1">
        <f t="shared" si="20"/>
        <v>6</v>
      </c>
      <c r="AU77" s="1" t="str">
        <f t="shared" si="21"/>
        <v>CARLOS JOAQUIN</v>
      </c>
      <c r="AV77" s="1">
        <f t="shared" si="22"/>
        <v>7</v>
      </c>
    </row>
    <row r="78" spans="1:48">
      <c r="A78" s="2" t="s">
        <v>130</v>
      </c>
      <c r="B78" s="2" t="s">
        <v>131</v>
      </c>
      <c r="C78" s="2" t="s">
        <v>132</v>
      </c>
      <c r="D78" s="2" t="s">
        <v>49</v>
      </c>
      <c r="E78" s="2" t="s">
        <v>49</v>
      </c>
      <c r="F78" s="2" t="s">
        <v>49</v>
      </c>
      <c r="G78" s="2" t="s">
        <v>49</v>
      </c>
      <c r="H78" s="5">
        <v>0</v>
      </c>
      <c r="I78" s="2" t="s">
        <v>49</v>
      </c>
      <c r="J78" s="2" t="s">
        <v>49</v>
      </c>
      <c r="K78" s="2" t="s">
        <v>49</v>
      </c>
      <c r="L78" s="5">
        <v>3.472222222222222E-3</v>
      </c>
      <c r="M78" s="5">
        <v>0</v>
      </c>
      <c r="N78" s="5">
        <v>1.7361111111111112E-2</v>
      </c>
      <c r="O78" s="5">
        <v>0</v>
      </c>
      <c r="P78" s="5">
        <v>2.9166666666666667E-2</v>
      </c>
      <c r="Q78" s="5">
        <v>3.472222222222222E-3</v>
      </c>
      <c r="R78" s="5">
        <v>1.0416666666666666E-2</v>
      </c>
      <c r="S78" s="5">
        <v>2.4305555555555556E-2</v>
      </c>
      <c r="T78" s="5">
        <v>2.2222222222222223E-2</v>
      </c>
      <c r="U78" s="5">
        <v>1.5277777777777777E-2</v>
      </c>
      <c r="V78" s="5">
        <v>0</v>
      </c>
      <c r="W78" s="5">
        <v>1.1805555555555555E-2</v>
      </c>
      <c r="X78" s="5">
        <v>1.4583333333333334E-2</v>
      </c>
      <c r="Y78" s="5">
        <v>9.0277777777777769E-3</v>
      </c>
      <c r="Z78" s="5">
        <v>2.0833333333333332E-2</v>
      </c>
      <c r="AA78" s="5">
        <v>2.1527777777777778E-2</v>
      </c>
      <c r="AB78" s="5">
        <v>7.6388888888888886E-3</v>
      </c>
      <c r="AC78" s="5">
        <v>0</v>
      </c>
      <c r="AD78" s="5">
        <v>2.7777777777777779E-3</v>
      </c>
      <c r="AE78" s="5">
        <v>1.8749999999999999E-2</v>
      </c>
      <c r="AF78" s="6">
        <v>0</v>
      </c>
      <c r="AJ78" s="1">
        <v>3</v>
      </c>
      <c r="AK78" s="1">
        <f t="shared" si="12"/>
        <v>29</v>
      </c>
      <c r="AL78" s="10">
        <v>6.9444444444444441E-3</v>
      </c>
      <c r="AM78" s="1">
        <f t="shared" si="16"/>
        <v>13</v>
      </c>
      <c r="AN78" s="13">
        <f t="shared" si="13"/>
        <v>0.44827586206896552</v>
      </c>
      <c r="AO78" s="14">
        <f t="shared" si="14"/>
        <v>7</v>
      </c>
      <c r="AP78" s="1" t="str">
        <f>VLOOKUP(B78,Hoja3!$A$1:$B$14,2,0)</f>
        <v>CESADO</v>
      </c>
      <c r="AQ78" s="1" t="str">
        <f t="shared" si="23"/>
        <v>JEFFERSON LOPEZ</v>
      </c>
      <c r="AR78" s="1">
        <f t="shared" si="18"/>
        <v>11</v>
      </c>
      <c r="AS78" s="1" t="str">
        <f t="shared" si="19"/>
        <v>LOPEZ CRUZ</v>
      </c>
      <c r="AT78" s="1">
        <f t="shared" si="20"/>
        <v>6</v>
      </c>
      <c r="AU78" s="1" t="str">
        <f t="shared" si="21"/>
        <v>JEFFERSON NORMAN</v>
      </c>
      <c r="AV78" s="1">
        <f t="shared" si="22"/>
        <v>10</v>
      </c>
    </row>
    <row r="79" spans="1:48">
      <c r="A79" s="2" t="s">
        <v>32</v>
      </c>
      <c r="B79" s="2" t="s">
        <v>33</v>
      </c>
      <c r="C79" s="2" t="s">
        <v>34</v>
      </c>
      <c r="D79" s="5">
        <v>0</v>
      </c>
      <c r="E79" s="5">
        <v>2.0833333333333333E-3</v>
      </c>
      <c r="F79" s="5">
        <v>0</v>
      </c>
      <c r="G79" s="5">
        <v>1.8055555555555554E-2</v>
      </c>
      <c r="H79" s="5">
        <v>0</v>
      </c>
      <c r="I79" s="5">
        <v>1.0416666666666666E-2</v>
      </c>
      <c r="J79" s="5">
        <v>2.2222222222222223E-2</v>
      </c>
      <c r="K79" s="5">
        <v>0</v>
      </c>
      <c r="L79" s="2" t="s">
        <v>49</v>
      </c>
      <c r="M79" s="5">
        <v>0</v>
      </c>
      <c r="N79" s="5">
        <v>3.472222222222222E-3</v>
      </c>
      <c r="O79" s="5">
        <v>0</v>
      </c>
      <c r="P79" s="5">
        <v>1.3888888888888889E-3</v>
      </c>
      <c r="Q79" s="5">
        <v>3.472222222222222E-3</v>
      </c>
      <c r="R79" s="5">
        <v>5.5555555555555558E-3</v>
      </c>
      <c r="S79" s="5">
        <v>6.9444444444444447E-4</v>
      </c>
      <c r="T79" s="5">
        <v>0</v>
      </c>
      <c r="U79" s="5">
        <v>3.472222222222222E-3</v>
      </c>
      <c r="V79" s="5">
        <v>0</v>
      </c>
      <c r="W79" s="5">
        <v>1.2500000000000001E-2</v>
      </c>
      <c r="X79" s="5">
        <v>0</v>
      </c>
      <c r="Y79" s="5">
        <v>0</v>
      </c>
      <c r="Z79" s="5">
        <v>0</v>
      </c>
      <c r="AA79" s="5">
        <v>6.9444444444444447E-4</v>
      </c>
      <c r="AB79" s="5">
        <v>4.1666666666666666E-3</v>
      </c>
      <c r="AC79" s="5">
        <v>0</v>
      </c>
      <c r="AD79" s="5">
        <v>0</v>
      </c>
      <c r="AE79" s="5">
        <v>0</v>
      </c>
      <c r="AF79" s="6">
        <v>0</v>
      </c>
      <c r="AJ79" s="1">
        <v>3</v>
      </c>
      <c r="AK79" s="1">
        <f t="shared" si="12"/>
        <v>29</v>
      </c>
      <c r="AL79" s="10">
        <v>6.9444444444444441E-3</v>
      </c>
      <c r="AM79" s="1">
        <f t="shared" si="16"/>
        <v>4</v>
      </c>
      <c r="AN79" s="13">
        <f t="shared" si="13"/>
        <v>0.13793103448275862</v>
      </c>
      <c r="AO79" s="14">
        <f t="shared" si="14"/>
        <v>1</v>
      </c>
      <c r="AP79" s="1" t="s">
        <v>203</v>
      </c>
      <c r="AQ79" s="1" t="str">
        <f t="shared" si="23"/>
        <v>RONY CRUZ</v>
      </c>
      <c r="AR79" s="1">
        <f t="shared" si="18"/>
        <v>11</v>
      </c>
      <c r="AS79" s="1" t="str">
        <f t="shared" si="19"/>
        <v>CRUZ TAIPE</v>
      </c>
      <c r="AT79" s="1">
        <f t="shared" si="20"/>
        <v>5</v>
      </c>
      <c r="AU79" s="1" t="str">
        <f t="shared" si="21"/>
        <v>RONY WALDIR</v>
      </c>
      <c r="AV79" s="1">
        <f t="shared" si="22"/>
        <v>5</v>
      </c>
    </row>
    <row r="80" spans="1:48">
      <c r="A80" s="2" t="s">
        <v>36</v>
      </c>
      <c r="B80" s="2" t="s">
        <v>37</v>
      </c>
      <c r="C80" s="2" t="s">
        <v>38</v>
      </c>
      <c r="D80" s="5">
        <v>0</v>
      </c>
      <c r="E80" s="5">
        <v>8.3333333333333332E-3</v>
      </c>
      <c r="F80" s="5">
        <v>0</v>
      </c>
      <c r="G80" s="5">
        <v>0</v>
      </c>
      <c r="H80" s="5">
        <v>0</v>
      </c>
      <c r="I80" s="5">
        <v>6.9444444444444447E-4</v>
      </c>
      <c r="J80" s="2" t="s">
        <v>49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9.7222222222222224E-3</v>
      </c>
      <c r="Q80" s="5">
        <v>7.6388888888888886E-3</v>
      </c>
      <c r="R80" s="5">
        <v>1.0416666666666666E-2</v>
      </c>
      <c r="S80" s="5">
        <v>3.472222222222222E-3</v>
      </c>
      <c r="T80" s="5">
        <v>4.8611111111111112E-3</v>
      </c>
      <c r="U80" s="5">
        <v>1.3888888888888889E-3</v>
      </c>
      <c r="V80" s="5">
        <v>0</v>
      </c>
      <c r="W80" s="5">
        <v>9.7222222222222224E-3</v>
      </c>
      <c r="X80" s="5">
        <v>6.9444444444444441E-3</v>
      </c>
      <c r="Y80" s="5">
        <v>6.9444444444444441E-3</v>
      </c>
      <c r="Z80" s="5">
        <v>1.3888888888888888E-2</v>
      </c>
      <c r="AA80" s="5">
        <v>2.7777777777777779E-3</v>
      </c>
      <c r="AB80" s="5">
        <v>4.1666666666666666E-3</v>
      </c>
      <c r="AC80" s="5">
        <v>0</v>
      </c>
      <c r="AD80" s="5">
        <v>1.0416666666666666E-2</v>
      </c>
      <c r="AE80" s="5">
        <v>8.3333333333333332E-3</v>
      </c>
      <c r="AF80" s="6">
        <v>0</v>
      </c>
      <c r="AJ80" s="1">
        <v>3</v>
      </c>
      <c r="AK80" s="1">
        <f t="shared" si="12"/>
        <v>29</v>
      </c>
      <c r="AL80" s="10">
        <v>6.9444444444444441E-3</v>
      </c>
      <c r="AM80" s="1">
        <f t="shared" si="16"/>
        <v>8</v>
      </c>
      <c r="AN80" s="13">
        <f t="shared" si="13"/>
        <v>0.27586206896551724</v>
      </c>
      <c r="AO80" s="14">
        <f t="shared" si="14"/>
        <v>1</v>
      </c>
      <c r="AP80" s="1" t="s">
        <v>201</v>
      </c>
      <c r="AQ80" s="1" t="str">
        <f t="shared" si="23"/>
        <v>MARQUIÑO ANDRADE</v>
      </c>
      <c r="AR80" s="1">
        <f t="shared" si="18"/>
        <v>13</v>
      </c>
      <c r="AS80" s="1" t="str">
        <f t="shared" si="19"/>
        <v>ANDRADE MERA</v>
      </c>
      <c r="AT80" s="1">
        <f t="shared" si="20"/>
        <v>8</v>
      </c>
      <c r="AU80" s="1" t="str">
        <f t="shared" si="21"/>
        <v>MARQUIÑO ANTONY</v>
      </c>
      <c r="AV80" s="1">
        <f t="shared" si="22"/>
        <v>9</v>
      </c>
    </row>
    <row r="81" spans="1:48">
      <c r="A81" s="2" t="s">
        <v>134</v>
      </c>
      <c r="B81" s="2" t="s">
        <v>135</v>
      </c>
      <c r="C81" s="2" t="s">
        <v>136</v>
      </c>
      <c r="D81" s="5">
        <v>0</v>
      </c>
      <c r="E81" s="5">
        <v>0</v>
      </c>
      <c r="F81" s="2" t="s">
        <v>185</v>
      </c>
      <c r="G81" s="5">
        <v>5.5555555555555558E-3</v>
      </c>
      <c r="H81" s="5">
        <v>0</v>
      </c>
      <c r="I81" s="5">
        <v>9.7222222222222224E-3</v>
      </c>
      <c r="J81" s="5">
        <v>2.8472222222222222E-2</v>
      </c>
      <c r="K81" s="5">
        <v>3.6805555555555557E-2</v>
      </c>
      <c r="L81" s="5">
        <v>2.5000000000000001E-2</v>
      </c>
      <c r="M81" s="5">
        <v>1.8055555555555554E-2</v>
      </c>
      <c r="N81" s="5">
        <v>0</v>
      </c>
      <c r="O81" s="5">
        <v>0</v>
      </c>
      <c r="P81" s="5">
        <v>3.4027777777777775E-2</v>
      </c>
      <c r="Q81" s="5">
        <v>6.2500000000000003E-3</v>
      </c>
      <c r="R81" s="5">
        <v>9.0277777777777769E-3</v>
      </c>
      <c r="S81" s="5">
        <v>1.6666666666666666E-2</v>
      </c>
      <c r="T81" s="5">
        <v>8.3333333333333332E-3</v>
      </c>
      <c r="U81" s="5">
        <v>0</v>
      </c>
      <c r="V81" s="5">
        <v>0</v>
      </c>
      <c r="W81" s="5">
        <v>2.0833333333333333E-3</v>
      </c>
      <c r="X81" s="5">
        <v>1.5972222222222221E-2</v>
      </c>
      <c r="Y81" s="5">
        <v>2.8472222222222222E-2</v>
      </c>
      <c r="Z81" s="5">
        <v>2.9166666666666667E-2</v>
      </c>
      <c r="AA81" s="5">
        <v>2.5694444444444443E-2</v>
      </c>
      <c r="AB81" s="5">
        <v>1.7361111111111112E-2</v>
      </c>
      <c r="AC81" s="5">
        <v>0</v>
      </c>
      <c r="AD81" s="5">
        <v>2.013888888888889E-2</v>
      </c>
      <c r="AE81" s="5">
        <v>3.888888888888889E-2</v>
      </c>
      <c r="AF81" s="6">
        <v>0</v>
      </c>
      <c r="AJ81" s="1">
        <v>3</v>
      </c>
      <c r="AK81" s="1">
        <f t="shared" si="12"/>
        <v>29</v>
      </c>
      <c r="AL81" s="10">
        <v>6.9444444444444441E-3</v>
      </c>
      <c r="AM81" s="1">
        <f t="shared" si="16"/>
        <v>16</v>
      </c>
      <c r="AN81" s="13">
        <f t="shared" si="13"/>
        <v>0.55172413793103448</v>
      </c>
      <c r="AO81" s="14">
        <f t="shared" si="14"/>
        <v>0</v>
      </c>
      <c r="AP81" s="1" t="str">
        <f>VLOOKUP(B81,Hoja3!$A$1:$B$14,2,0)</f>
        <v>CESADO</v>
      </c>
      <c r="AQ81" s="1" t="str">
        <f t="shared" si="23"/>
        <v>LITTA CLAROS</v>
      </c>
      <c r="AR81" s="1">
        <f t="shared" si="18"/>
        <v>13</v>
      </c>
      <c r="AS81" s="1" t="str">
        <f t="shared" si="19"/>
        <v>CLAROS NIETO</v>
      </c>
      <c r="AT81" s="1">
        <f t="shared" si="20"/>
        <v>7</v>
      </c>
      <c r="AU81" s="1" t="str">
        <f t="shared" si="21"/>
        <v>LITTA DANERY</v>
      </c>
      <c r="AV81" s="1">
        <f t="shared" si="22"/>
        <v>6</v>
      </c>
    </row>
    <row r="82" spans="1:48">
      <c r="A82" s="2" t="s">
        <v>176</v>
      </c>
      <c r="B82" s="2" t="s">
        <v>177</v>
      </c>
      <c r="C82" s="2" t="s">
        <v>178</v>
      </c>
      <c r="D82" s="2" t="s">
        <v>49</v>
      </c>
      <c r="E82" s="2" t="s">
        <v>49</v>
      </c>
      <c r="F82" s="2" t="s">
        <v>49</v>
      </c>
      <c r="G82" s="2" t="s">
        <v>49</v>
      </c>
      <c r="H82" s="5">
        <v>0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49</v>
      </c>
      <c r="O82" s="5">
        <v>0</v>
      </c>
      <c r="P82" s="2" t="s">
        <v>49</v>
      </c>
      <c r="Q82" s="2" t="s">
        <v>49</v>
      </c>
      <c r="R82" s="2" t="s">
        <v>49</v>
      </c>
      <c r="S82" s="2" t="s">
        <v>49</v>
      </c>
      <c r="T82" s="2" t="s">
        <v>49</v>
      </c>
      <c r="U82" s="2" t="s">
        <v>49</v>
      </c>
      <c r="V82" s="5">
        <v>0</v>
      </c>
      <c r="W82" s="2" t="s">
        <v>49</v>
      </c>
      <c r="X82" s="2" t="s">
        <v>49</v>
      </c>
      <c r="Y82" s="2" t="s">
        <v>49</v>
      </c>
      <c r="Z82" s="2" t="s">
        <v>49</v>
      </c>
      <c r="AA82" s="2" t="s">
        <v>49</v>
      </c>
      <c r="AB82" s="2" t="s">
        <v>49</v>
      </c>
      <c r="AC82" s="5">
        <v>0</v>
      </c>
      <c r="AD82" s="2" t="s">
        <v>49</v>
      </c>
      <c r="AE82" s="2" t="s">
        <v>49</v>
      </c>
      <c r="AF82" s="6">
        <v>0</v>
      </c>
      <c r="AJ82" s="1">
        <v>3</v>
      </c>
      <c r="AK82" s="1">
        <f t="shared" si="12"/>
        <v>29</v>
      </c>
      <c r="AL82" s="10">
        <v>6.9444444444444441E-3</v>
      </c>
      <c r="AM82" s="1">
        <f t="shared" si="16"/>
        <v>0</v>
      </c>
      <c r="AN82" s="13">
        <f t="shared" si="13"/>
        <v>0</v>
      </c>
      <c r="AO82" s="14">
        <f t="shared" si="14"/>
        <v>24</v>
      </c>
      <c r="AP82" s="1" t="str">
        <f>VLOOKUP(B82,Hoja3!$A$1:$B$14,2,0)</f>
        <v>CESADO</v>
      </c>
      <c r="AQ82" s="1" t="str">
        <f>CONCATENATE(AU82," ",(MID(AS82,1,AT82-1)))</f>
        <v>JOE ZARATE</v>
      </c>
      <c r="AR82" s="1">
        <f t="shared" si="18"/>
        <v>15</v>
      </c>
      <c r="AS82" s="1" t="str">
        <f t="shared" si="19"/>
        <v>ZARATE SALAZAR</v>
      </c>
      <c r="AT82" s="1">
        <f t="shared" si="20"/>
        <v>7</v>
      </c>
      <c r="AU82" s="1" t="str">
        <f t="shared" si="21"/>
        <v>JOE</v>
      </c>
      <c r="AV82" s="1" t="e">
        <f t="shared" si="22"/>
        <v>#VALUE!</v>
      </c>
    </row>
    <row r="83" spans="1:48">
      <c r="A83" s="2" t="s">
        <v>39</v>
      </c>
      <c r="B83" s="2" t="s">
        <v>40</v>
      </c>
      <c r="C83" s="2" t="s">
        <v>41</v>
      </c>
      <c r="D83" s="5">
        <v>4.1666666666666666E-3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2.7777777777777779E-3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1.3888888888888889E-3</v>
      </c>
      <c r="Z83" s="5">
        <v>0</v>
      </c>
      <c r="AA83" s="5">
        <v>0</v>
      </c>
      <c r="AB83" s="5">
        <v>0</v>
      </c>
      <c r="AC83" s="5">
        <v>0</v>
      </c>
      <c r="AD83" s="5">
        <v>6.2500000000000003E-3</v>
      </c>
      <c r="AE83" s="5">
        <v>0</v>
      </c>
      <c r="AF83" s="6">
        <v>0</v>
      </c>
      <c r="AJ83" s="1">
        <v>3</v>
      </c>
      <c r="AK83" s="1">
        <f t="shared" si="12"/>
        <v>29</v>
      </c>
      <c r="AL83" s="10">
        <v>6.9444444444444441E-3</v>
      </c>
      <c r="AM83" s="1">
        <f t="shared" si="16"/>
        <v>0</v>
      </c>
      <c r="AN83" s="13">
        <f t="shared" si="13"/>
        <v>0</v>
      </c>
      <c r="AO83" s="14">
        <f t="shared" si="14"/>
        <v>0</v>
      </c>
      <c r="AP83" s="1" t="s">
        <v>203</v>
      </c>
      <c r="AQ83" s="1" t="str">
        <f t="shared" si="23"/>
        <v>FRANCISCO MEJIA</v>
      </c>
      <c r="AR83" s="1">
        <f t="shared" si="18"/>
        <v>13</v>
      </c>
      <c r="AS83" s="1" t="str">
        <f t="shared" si="19"/>
        <v>MEJIA TORRES</v>
      </c>
      <c r="AT83" s="1">
        <f t="shared" si="20"/>
        <v>6</v>
      </c>
      <c r="AU83" s="1" t="str">
        <f t="shared" si="21"/>
        <v>FRANCISCO JAVIER</v>
      </c>
      <c r="AV83" s="1">
        <f t="shared" si="22"/>
        <v>10</v>
      </c>
    </row>
    <row r="84" spans="1:48">
      <c r="A84" s="2" t="s">
        <v>42</v>
      </c>
      <c r="B84" s="2" t="s">
        <v>43</v>
      </c>
      <c r="C84" s="2" t="s">
        <v>44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1.3888888888888889E-3</v>
      </c>
      <c r="K84" s="5">
        <v>0</v>
      </c>
      <c r="L84" s="5">
        <v>7.6388888888888886E-3</v>
      </c>
      <c r="M84" s="5">
        <v>0</v>
      </c>
      <c r="N84" s="5">
        <v>0</v>
      </c>
      <c r="O84" s="5">
        <v>0</v>
      </c>
      <c r="P84" s="5">
        <v>1.5972222222222221E-2</v>
      </c>
      <c r="Q84" s="5">
        <v>1.3888888888888889E-3</v>
      </c>
      <c r="R84" s="2" t="s">
        <v>186</v>
      </c>
      <c r="S84" s="5">
        <v>2.2916666666666665E-2</v>
      </c>
      <c r="T84" s="5">
        <v>1.3888888888888888E-2</v>
      </c>
      <c r="U84" s="5">
        <v>0</v>
      </c>
      <c r="V84" s="5">
        <v>0</v>
      </c>
      <c r="W84" s="5">
        <v>0</v>
      </c>
      <c r="X84" s="5">
        <v>1.3888888888888889E-3</v>
      </c>
      <c r="Y84" s="5">
        <v>2.2916666666666665E-2</v>
      </c>
      <c r="Z84" s="5">
        <v>1.3888888888888889E-3</v>
      </c>
      <c r="AA84" s="5">
        <v>1.1111111111111112E-2</v>
      </c>
      <c r="AB84" s="5">
        <v>0</v>
      </c>
      <c r="AC84" s="5">
        <v>0</v>
      </c>
      <c r="AD84" s="2" t="s">
        <v>49</v>
      </c>
      <c r="AE84" s="5">
        <v>1.3194444444444444E-2</v>
      </c>
      <c r="AF84" s="6">
        <v>0</v>
      </c>
      <c r="AJ84" s="1">
        <v>3</v>
      </c>
      <c r="AK84" s="1">
        <f t="shared" si="12"/>
        <v>29</v>
      </c>
      <c r="AL84" s="10">
        <v>6.9444444444444441E-3</v>
      </c>
      <c r="AM84" s="1">
        <f t="shared" si="16"/>
        <v>7</v>
      </c>
      <c r="AN84" s="13">
        <f t="shared" si="13"/>
        <v>0.2413793103448276</v>
      </c>
      <c r="AO84" s="14">
        <f t="shared" si="14"/>
        <v>1</v>
      </c>
      <c r="AP84" s="1" t="s">
        <v>203</v>
      </c>
      <c r="AQ84" s="1" t="str">
        <f t="shared" si="23"/>
        <v>CARLOS GUEVARA</v>
      </c>
      <c r="AR84" s="1">
        <f t="shared" si="18"/>
        <v>16</v>
      </c>
      <c r="AS84" s="1" t="str">
        <f t="shared" si="19"/>
        <v>GUEVARA CABELLO</v>
      </c>
      <c r="AT84" s="1">
        <f t="shared" si="20"/>
        <v>8</v>
      </c>
      <c r="AU84" s="1" t="str">
        <f t="shared" si="21"/>
        <v>CARLOS JEANPIERRE</v>
      </c>
      <c r="AV84" s="1">
        <f t="shared" si="22"/>
        <v>7</v>
      </c>
    </row>
    <row r="85" spans="1:48">
      <c r="A85" s="2" t="s">
        <v>54</v>
      </c>
      <c r="B85" s="2" t="s">
        <v>55</v>
      </c>
      <c r="C85" s="2" t="s">
        <v>56</v>
      </c>
      <c r="D85" s="5">
        <v>1.1805555555555555E-2</v>
      </c>
      <c r="E85" s="5">
        <v>2.7777777777777776E-2</v>
      </c>
      <c r="F85" s="5">
        <v>0</v>
      </c>
      <c r="G85" s="5">
        <v>3.9583333333333331E-2</v>
      </c>
      <c r="H85" s="5">
        <v>0</v>
      </c>
      <c r="I85" s="5">
        <v>3.2638888888888891E-2</v>
      </c>
      <c r="J85" s="5">
        <v>9.0277777777777769E-3</v>
      </c>
      <c r="K85" s="2" t="s">
        <v>57</v>
      </c>
      <c r="L85" s="5">
        <v>2.2916666666666665E-2</v>
      </c>
      <c r="M85" s="5">
        <v>2.5000000000000001E-2</v>
      </c>
      <c r="N85" s="5">
        <v>2.7083333333333334E-2</v>
      </c>
      <c r="O85" s="5">
        <v>0</v>
      </c>
      <c r="P85" s="5">
        <v>0</v>
      </c>
      <c r="Q85" s="5">
        <v>3.6805555555555557E-2</v>
      </c>
      <c r="R85" s="5">
        <v>0</v>
      </c>
      <c r="S85" s="5">
        <v>2.0833333333333332E-2</v>
      </c>
      <c r="T85" s="5">
        <v>2.2222222222222223E-2</v>
      </c>
      <c r="U85" s="5">
        <v>8.3333333333333332E-3</v>
      </c>
      <c r="V85" s="5">
        <v>0</v>
      </c>
      <c r="W85" s="5">
        <v>0</v>
      </c>
      <c r="X85" s="5">
        <v>2.0833333333333332E-2</v>
      </c>
      <c r="Y85" s="5">
        <v>9.7222222222222224E-3</v>
      </c>
      <c r="Z85" s="5">
        <v>1.8749999999999999E-2</v>
      </c>
      <c r="AA85" s="5">
        <v>0</v>
      </c>
      <c r="AB85" s="5">
        <v>9.7222222222222224E-3</v>
      </c>
      <c r="AC85" s="5">
        <v>0</v>
      </c>
      <c r="AD85" s="5">
        <v>1.1805555555555555E-2</v>
      </c>
      <c r="AE85" s="5">
        <v>2.7083333333333334E-2</v>
      </c>
      <c r="AF85" s="6">
        <v>0</v>
      </c>
      <c r="AJ85" s="1">
        <v>3</v>
      </c>
      <c r="AK85" s="1">
        <f t="shared" si="12"/>
        <v>29</v>
      </c>
      <c r="AL85" s="10">
        <v>6.9444444444444441E-3</v>
      </c>
      <c r="AM85" s="1">
        <f t="shared" si="16"/>
        <v>18</v>
      </c>
      <c r="AN85" s="13">
        <f t="shared" si="13"/>
        <v>0.62068965517241381</v>
      </c>
      <c r="AO85" s="14">
        <f t="shared" si="14"/>
        <v>0</v>
      </c>
      <c r="AP85" s="1" t="s">
        <v>203</v>
      </c>
      <c r="AQ85" s="1" t="str">
        <f t="shared" ref="AQ85:AQ86" si="24">CONCATENATE(AU85," ",(MID(AS85,1,AT85-1)))</f>
        <v>KIMBERLLY AMES</v>
      </c>
      <c r="AR85" s="1">
        <f t="shared" si="18"/>
        <v>14</v>
      </c>
      <c r="AS85" s="1" t="str">
        <f t="shared" si="19"/>
        <v>AMES ESPINOZA</v>
      </c>
      <c r="AT85" s="1">
        <f t="shared" si="20"/>
        <v>5</v>
      </c>
      <c r="AU85" s="1" t="str">
        <f t="shared" si="21"/>
        <v>KIMBERLLY</v>
      </c>
      <c r="AV85" s="1" t="e">
        <f t="shared" si="22"/>
        <v>#VALUE!</v>
      </c>
    </row>
    <row r="86" spans="1:48">
      <c r="A86" s="2" t="s">
        <v>58</v>
      </c>
      <c r="B86" s="2" t="s">
        <v>59</v>
      </c>
      <c r="C86" s="2" t="s">
        <v>60</v>
      </c>
      <c r="D86" s="5">
        <v>2.7083333333333334E-2</v>
      </c>
      <c r="E86" s="5">
        <v>1.0416666666666666E-2</v>
      </c>
      <c r="F86" s="5">
        <v>8.3333333333333332E-3</v>
      </c>
      <c r="G86" s="5">
        <v>0</v>
      </c>
      <c r="H86" s="5">
        <v>0</v>
      </c>
      <c r="I86" s="5">
        <v>1.3888888888888889E-3</v>
      </c>
      <c r="J86" s="5">
        <v>2.1527777777777778E-2</v>
      </c>
      <c r="K86" s="5">
        <v>6.9444444444444447E-4</v>
      </c>
      <c r="L86" s="5">
        <v>1.8055555555555554E-2</v>
      </c>
      <c r="M86" s="5">
        <v>1.3194444444444444E-2</v>
      </c>
      <c r="N86" s="5">
        <v>1.2500000000000001E-2</v>
      </c>
      <c r="O86" s="5">
        <v>0</v>
      </c>
      <c r="P86" s="5">
        <v>1.7361111111111112E-2</v>
      </c>
      <c r="Q86" s="5">
        <v>2.5000000000000001E-2</v>
      </c>
      <c r="R86" s="5">
        <v>1.1111111111111112E-2</v>
      </c>
      <c r="S86" s="5">
        <v>6.2500000000000003E-3</v>
      </c>
      <c r="T86" s="5">
        <v>2.1527777777777778E-2</v>
      </c>
      <c r="U86" s="5">
        <v>1.3194444444444444E-2</v>
      </c>
      <c r="V86" s="5">
        <v>0</v>
      </c>
      <c r="W86" s="5">
        <v>1.0416666666666666E-2</v>
      </c>
      <c r="X86" s="5">
        <v>1.2500000000000001E-2</v>
      </c>
      <c r="Y86" s="5">
        <v>1.5277777777777777E-2</v>
      </c>
      <c r="Z86" s="5">
        <v>1.8055555555555554E-2</v>
      </c>
      <c r="AA86" s="5">
        <v>1.5277777777777777E-2</v>
      </c>
      <c r="AB86" s="5">
        <v>0</v>
      </c>
      <c r="AC86" s="5">
        <v>0</v>
      </c>
      <c r="AD86" s="5">
        <v>1.5277777777777777E-2</v>
      </c>
      <c r="AE86" s="5">
        <v>2.2222222222222223E-2</v>
      </c>
      <c r="AF86" s="6">
        <v>0</v>
      </c>
      <c r="AJ86" s="1">
        <v>3</v>
      </c>
      <c r="AK86" s="1">
        <f t="shared" si="12"/>
        <v>29</v>
      </c>
      <c r="AL86" s="10">
        <v>6.9444444444444441E-3</v>
      </c>
      <c r="AM86" s="1">
        <f t="shared" si="16"/>
        <v>19</v>
      </c>
      <c r="AN86" s="13">
        <f t="shared" si="13"/>
        <v>0.65517241379310343</v>
      </c>
      <c r="AO86" s="14">
        <f t="shared" si="14"/>
        <v>0</v>
      </c>
      <c r="AP86" s="1" t="s">
        <v>203</v>
      </c>
      <c r="AQ86" s="1" t="str">
        <f t="shared" si="24"/>
        <v>LILIANA ALVARADO</v>
      </c>
      <c r="AR86" s="1">
        <f t="shared" si="18"/>
        <v>16</v>
      </c>
      <c r="AS86" s="1" t="str">
        <f t="shared" si="19"/>
        <v>ALVARADO ECHAIZ</v>
      </c>
      <c r="AT86" s="1">
        <f t="shared" si="20"/>
        <v>9</v>
      </c>
      <c r="AU86" s="1" t="str">
        <f t="shared" si="21"/>
        <v>LILIANA</v>
      </c>
      <c r="AV86" s="1" t="e">
        <f t="shared" si="22"/>
        <v>#VALUE!</v>
      </c>
    </row>
    <row r="87" spans="1:48">
      <c r="A87" s="2" t="s">
        <v>61</v>
      </c>
      <c r="B87" s="2" t="s">
        <v>62</v>
      </c>
      <c r="C87" s="2" t="s">
        <v>63</v>
      </c>
      <c r="D87" s="5">
        <v>0</v>
      </c>
      <c r="E87" s="5">
        <v>5.5555555555555558E-3</v>
      </c>
      <c r="F87" s="5">
        <v>1.3888888888888889E-3</v>
      </c>
      <c r="G87" s="5">
        <v>0</v>
      </c>
      <c r="H87" s="5">
        <v>0</v>
      </c>
      <c r="I87" s="5">
        <v>9.7222222222222224E-3</v>
      </c>
      <c r="J87" s="5">
        <v>0</v>
      </c>
      <c r="K87" s="5">
        <v>9.0277777777777769E-3</v>
      </c>
      <c r="L87" s="5">
        <v>6.9444444444444447E-4</v>
      </c>
      <c r="M87" s="5">
        <v>0</v>
      </c>
      <c r="N87" s="5">
        <v>0</v>
      </c>
      <c r="O87" s="5">
        <v>0</v>
      </c>
      <c r="P87" s="5">
        <v>8.3333333333333332E-3</v>
      </c>
      <c r="Q87" s="5">
        <v>1.3888888888888889E-3</v>
      </c>
      <c r="R87" s="5">
        <v>4.8611111111111112E-3</v>
      </c>
      <c r="S87" s="5">
        <v>1.3888888888888889E-3</v>
      </c>
      <c r="T87" s="5">
        <v>1.3888888888888889E-3</v>
      </c>
      <c r="U87" s="5">
        <v>0</v>
      </c>
      <c r="V87" s="5">
        <v>0</v>
      </c>
      <c r="W87" s="5">
        <v>2.7777777777777779E-3</v>
      </c>
      <c r="X87" s="5">
        <v>0</v>
      </c>
      <c r="Y87" s="2" t="s">
        <v>49</v>
      </c>
      <c r="Z87" s="2" t="s">
        <v>49</v>
      </c>
      <c r="AA87" s="2" t="s">
        <v>49</v>
      </c>
      <c r="AB87" s="5">
        <v>0</v>
      </c>
      <c r="AC87" s="5">
        <v>0</v>
      </c>
      <c r="AD87" s="5">
        <v>2.7777777777777779E-3</v>
      </c>
      <c r="AE87" s="5">
        <v>0</v>
      </c>
      <c r="AF87" s="6">
        <v>0</v>
      </c>
      <c r="AJ87" s="1">
        <v>3</v>
      </c>
      <c r="AK87" s="1">
        <f t="shared" si="12"/>
        <v>29</v>
      </c>
      <c r="AL87" s="10">
        <v>6.9444444444444441E-3</v>
      </c>
      <c r="AM87" s="1">
        <f t="shared" si="16"/>
        <v>3</v>
      </c>
      <c r="AN87" s="13">
        <f t="shared" si="13"/>
        <v>0.10344827586206896</v>
      </c>
      <c r="AO87" s="14">
        <f t="shared" si="14"/>
        <v>3</v>
      </c>
      <c r="AP87" s="1" t="s">
        <v>203</v>
      </c>
      <c r="AQ87" s="1" t="str">
        <f t="shared" si="23"/>
        <v>MANUEL MERMA</v>
      </c>
      <c r="AR87" s="1">
        <f t="shared" si="18"/>
        <v>12</v>
      </c>
      <c r="AS87" s="1" t="str">
        <f t="shared" si="19"/>
        <v>MERMA CHILA</v>
      </c>
      <c r="AT87" s="1">
        <f t="shared" si="20"/>
        <v>6</v>
      </c>
      <c r="AU87" s="1" t="str">
        <f t="shared" si="21"/>
        <v>MANUEL ENRIQUE</v>
      </c>
      <c r="AV87" s="1">
        <f t="shared" si="22"/>
        <v>7</v>
      </c>
    </row>
    <row r="88" spans="1:48">
      <c r="A88" s="2" t="s">
        <v>64</v>
      </c>
      <c r="B88" s="2" t="s">
        <v>65</v>
      </c>
      <c r="C88" s="2" t="s">
        <v>66</v>
      </c>
      <c r="D88" s="5">
        <v>1.0416666666666666E-2</v>
      </c>
      <c r="E88" s="5">
        <v>4.1666666666666666E-3</v>
      </c>
      <c r="F88" s="5">
        <v>4.8611111111111112E-3</v>
      </c>
      <c r="G88" s="5">
        <v>9.0277777777777769E-3</v>
      </c>
      <c r="H88" s="5">
        <v>0</v>
      </c>
      <c r="I88" s="2" t="s">
        <v>125</v>
      </c>
      <c r="J88" s="5">
        <v>0</v>
      </c>
      <c r="K88" s="5">
        <v>2.0833333333333333E-3</v>
      </c>
      <c r="L88" s="5">
        <v>1.3194444444444444E-2</v>
      </c>
      <c r="M88" s="5">
        <v>4.1666666666666666E-3</v>
      </c>
      <c r="N88" s="5">
        <v>1.3888888888888889E-3</v>
      </c>
      <c r="O88" s="5">
        <v>0</v>
      </c>
      <c r="P88" s="2" t="s">
        <v>104</v>
      </c>
      <c r="Q88" s="5">
        <v>0</v>
      </c>
      <c r="R88" s="5">
        <v>4.8611111111111112E-3</v>
      </c>
      <c r="S88" s="5">
        <v>0</v>
      </c>
      <c r="T88" s="5">
        <v>0</v>
      </c>
      <c r="U88" s="5">
        <v>4.1666666666666666E-3</v>
      </c>
      <c r="V88" s="5">
        <v>0</v>
      </c>
      <c r="W88" s="5">
        <v>4.8611111111111112E-3</v>
      </c>
      <c r="X88" s="5">
        <v>6.9444444444444441E-3</v>
      </c>
      <c r="Y88" s="5">
        <v>0</v>
      </c>
      <c r="Z88" s="5">
        <v>0</v>
      </c>
      <c r="AA88" s="5">
        <v>0</v>
      </c>
      <c r="AB88" s="5">
        <v>2.1527777777777778E-2</v>
      </c>
      <c r="AC88" s="5">
        <v>0</v>
      </c>
      <c r="AD88" s="5">
        <v>1.1805555555555555E-2</v>
      </c>
      <c r="AE88" s="5">
        <v>1.1111111111111112E-2</v>
      </c>
      <c r="AF88" s="6">
        <v>0</v>
      </c>
      <c r="AJ88" s="1">
        <v>3</v>
      </c>
      <c r="AK88" s="1">
        <f t="shared" si="12"/>
        <v>29</v>
      </c>
      <c r="AL88" s="10">
        <v>6.9444444444444441E-3</v>
      </c>
      <c r="AM88" s="1">
        <f t="shared" si="16"/>
        <v>6</v>
      </c>
      <c r="AN88" s="13">
        <f t="shared" si="13"/>
        <v>0.20689655172413793</v>
      </c>
      <c r="AO88" s="14">
        <f t="shared" si="14"/>
        <v>0</v>
      </c>
      <c r="AP88" s="1" t="s">
        <v>203</v>
      </c>
      <c r="AQ88" s="1" t="str">
        <f t="shared" si="23"/>
        <v>GRECIA SANCHEZ</v>
      </c>
      <c r="AR88" s="1">
        <f t="shared" si="18"/>
        <v>16</v>
      </c>
      <c r="AS88" s="1" t="str">
        <f t="shared" si="19"/>
        <v>SANCHEZ PANAIFO</v>
      </c>
      <c r="AT88" s="1">
        <f t="shared" si="20"/>
        <v>8</v>
      </c>
      <c r="AU88" s="1" t="str">
        <f t="shared" si="21"/>
        <v>GRECIA DANNAE</v>
      </c>
      <c r="AV88" s="1">
        <f t="shared" si="22"/>
        <v>7</v>
      </c>
    </row>
    <row r="89" spans="1:48">
      <c r="A89" s="2" t="s">
        <v>68</v>
      </c>
      <c r="B89" s="2" t="s">
        <v>69</v>
      </c>
      <c r="C89" s="2" t="s">
        <v>70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2.7777777777777779E-3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6">
        <v>0</v>
      </c>
      <c r="AJ89" s="1">
        <v>3</v>
      </c>
      <c r="AK89" s="1">
        <f t="shared" si="12"/>
        <v>29</v>
      </c>
      <c r="AL89" s="10">
        <v>6.9444444444444441E-3</v>
      </c>
      <c r="AM89" s="1">
        <f t="shared" si="16"/>
        <v>0</v>
      </c>
      <c r="AN89" s="13">
        <f t="shared" si="13"/>
        <v>0</v>
      </c>
      <c r="AO89" s="14">
        <f t="shared" si="14"/>
        <v>0</v>
      </c>
      <c r="AP89" s="1" t="str">
        <f>VLOOKUP(B89,Hoja3!$A$1:$B$14,2,0)</f>
        <v>CESADO</v>
      </c>
      <c r="AQ89" s="1" t="str">
        <f t="shared" si="23"/>
        <v>DIANA CHAVEZ</v>
      </c>
      <c r="AR89" s="1">
        <f t="shared" si="18"/>
        <v>15</v>
      </c>
      <c r="AS89" s="1" t="str">
        <f t="shared" si="19"/>
        <v>CHAVEZ GUILLEN</v>
      </c>
      <c r="AT89" s="1">
        <f t="shared" si="20"/>
        <v>7</v>
      </c>
      <c r="AU89" s="1" t="str">
        <f t="shared" si="21"/>
        <v>DIANA CAROLINA</v>
      </c>
      <c r="AV89" s="1">
        <f t="shared" si="22"/>
        <v>6</v>
      </c>
    </row>
    <row r="90" spans="1:48">
      <c r="A90" s="2" t="s">
        <v>72</v>
      </c>
      <c r="B90" s="2" t="s">
        <v>73</v>
      </c>
      <c r="C90" s="2" t="s">
        <v>74</v>
      </c>
      <c r="D90" s="5">
        <v>0</v>
      </c>
      <c r="E90" s="5">
        <v>0</v>
      </c>
      <c r="F90" s="5">
        <v>0</v>
      </c>
      <c r="G90" s="5">
        <v>1.0416666666666666E-2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6.9444444444444447E-4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6">
        <v>0</v>
      </c>
      <c r="AJ90" s="1">
        <v>3</v>
      </c>
      <c r="AK90" s="1">
        <f t="shared" si="12"/>
        <v>29</v>
      </c>
      <c r="AL90" s="10">
        <v>6.9444444444444441E-3</v>
      </c>
      <c r="AM90" s="1">
        <f t="shared" si="16"/>
        <v>1</v>
      </c>
      <c r="AN90" s="13">
        <f t="shared" si="13"/>
        <v>3.4482758620689655E-2</v>
      </c>
      <c r="AO90" s="14">
        <f t="shared" si="14"/>
        <v>0</v>
      </c>
      <c r="AP90" s="1" t="s">
        <v>203</v>
      </c>
      <c r="AQ90" s="1" t="str">
        <f t="shared" si="23"/>
        <v>JONATHAN URDAY</v>
      </c>
      <c r="AR90" s="1">
        <f t="shared" si="18"/>
        <v>13</v>
      </c>
      <c r="AS90" s="1" t="str">
        <f t="shared" si="19"/>
        <v>URDAY CHOQUE</v>
      </c>
      <c r="AT90" s="1">
        <f t="shared" si="20"/>
        <v>6</v>
      </c>
      <c r="AU90" s="1" t="str">
        <f t="shared" si="21"/>
        <v>JONATHAN EDGARD</v>
      </c>
      <c r="AV90" s="1">
        <f t="shared" si="22"/>
        <v>9</v>
      </c>
    </row>
    <row r="91" spans="1:48">
      <c r="A91" s="2" t="s">
        <v>121</v>
      </c>
      <c r="B91" s="2" t="s">
        <v>122</v>
      </c>
      <c r="C91" s="2" t="s">
        <v>123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6.9444444444444447E-4</v>
      </c>
      <c r="O91" s="5">
        <v>0</v>
      </c>
      <c r="P91" s="5">
        <v>0</v>
      </c>
      <c r="Q91" s="5">
        <v>0</v>
      </c>
      <c r="R91" s="5">
        <v>3.472222222222222E-3</v>
      </c>
      <c r="S91" s="5">
        <v>0</v>
      </c>
      <c r="T91" s="5">
        <v>3.472222222222222E-3</v>
      </c>
      <c r="U91" s="5">
        <v>0</v>
      </c>
      <c r="V91" s="5">
        <v>0</v>
      </c>
      <c r="W91" s="5">
        <v>4.1666666666666666E-3</v>
      </c>
      <c r="X91" s="5">
        <v>0</v>
      </c>
      <c r="Y91" s="5">
        <v>0</v>
      </c>
      <c r="Z91" s="5">
        <v>0</v>
      </c>
      <c r="AA91" s="5">
        <v>5.5555555555555558E-3</v>
      </c>
      <c r="AB91" s="5">
        <v>0</v>
      </c>
      <c r="AC91" s="5">
        <v>0</v>
      </c>
      <c r="AD91" s="5">
        <v>1.3888888888888889E-3</v>
      </c>
      <c r="AE91" s="5">
        <v>0</v>
      </c>
      <c r="AF91" s="6">
        <v>0</v>
      </c>
      <c r="AJ91" s="1">
        <v>3</v>
      </c>
      <c r="AK91" s="1">
        <f t="shared" si="12"/>
        <v>29</v>
      </c>
      <c r="AL91" s="10">
        <v>6.9444444444444441E-3</v>
      </c>
      <c r="AM91" s="1">
        <f t="shared" si="16"/>
        <v>0</v>
      </c>
      <c r="AN91" s="13">
        <f t="shared" si="13"/>
        <v>0</v>
      </c>
      <c r="AO91" s="14">
        <f t="shared" si="14"/>
        <v>0</v>
      </c>
      <c r="AP91" s="1" t="str">
        <f>VLOOKUP(B91,Hoja3!$A$1:$B$14,2,0)</f>
        <v>CESADO</v>
      </c>
      <c r="AQ91" s="1" t="str">
        <f t="shared" si="23"/>
        <v>MARLENE PEREZ</v>
      </c>
      <c r="AR91" s="1">
        <f t="shared" si="18"/>
        <v>11</v>
      </c>
      <c r="AS91" s="1" t="str">
        <f t="shared" si="19"/>
        <v>PEREZ VERA</v>
      </c>
      <c r="AT91" s="1">
        <f t="shared" si="20"/>
        <v>6</v>
      </c>
      <c r="AU91" s="1" t="str">
        <f t="shared" si="21"/>
        <v>MARLENE BETTY</v>
      </c>
      <c r="AV91" s="1">
        <f t="shared" si="22"/>
        <v>8</v>
      </c>
    </row>
    <row r="92" spans="1:48">
      <c r="A92" s="2" t="s">
        <v>76</v>
      </c>
      <c r="B92" s="2" t="s">
        <v>77</v>
      </c>
      <c r="C92" s="2" t="s">
        <v>78</v>
      </c>
      <c r="D92" s="5">
        <v>2.4305555555555556E-2</v>
      </c>
      <c r="E92" s="5">
        <v>2.4305555555555556E-2</v>
      </c>
      <c r="F92" s="5">
        <v>2.2916666666666665E-2</v>
      </c>
      <c r="G92" s="5">
        <v>2.5000000000000001E-2</v>
      </c>
      <c r="H92" s="5">
        <v>0</v>
      </c>
      <c r="I92" s="5">
        <v>3.3333333333333333E-2</v>
      </c>
      <c r="J92" s="5">
        <v>2.5694444444444443E-2</v>
      </c>
      <c r="K92" s="5">
        <v>3.0555555555555555E-2</v>
      </c>
      <c r="L92" s="5">
        <v>3.4027777777777775E-2</v>
      </c>
      <c r="M92" s="5">
        <v>0</v>
      </c>
      <c r="N92" s="5">
        <v>2.361111111111111E-2</v>
      </c>
      <c r="O92" s="5">
        <v>0</v>
      </c>
      <c r="P92" s="2" t="s">
        <v>51</v>
      </c>
      <c r="Q92" s="5">
        <v>4.1666666666666666E-3</v>
      </c>
      <c r="R92" s="5">
        <v>3.888888888888889E-2</v>
      </c>
      <c r="S92" s="5">
        <v>0</v>
      </c>
      <c r="T92" s="5">
        <v>6.2500000000000003E-3</v>
      </c>
      <c r="U92" s="5">
        <v>4.1666666666666666E-3</v>
      </c>
      <c r="V92" s="5">
        <v>0</v>
      </c>
      <c r="W92" s="5">
        <v>0</v>
      </c>
      <c r="X92" s="5">
        <v>9.0277777777777769E-3</v>
      </c>
      <c r="Y92" s="5">
        <v>2.2916666666666665E-2</v>
      </c>
      <c r="Z92" s="5">
        <v>2.5694444444444443E-2</v>
      </c>
      <c r="AA92" s="5">
        <v>6.9444444444444447E-4</v>
      </c>
      <c r="AB92" s="5">
        <v>0</v>
      </c>
      <c r="AC92" s="5">
        <v>0</v>
      </c>
      <c r="AD92" s="5">
        <v>3.8194444444444448E-2</v>
      </c>
      <c r="AE92" s="5">
        <v>2.0833333333333333E-3</v>
      </c>
      <c r="AF92" s="6">
        <v>0</v>
      </c>
      <c r="AJ92" s="1">
        <v>3</v>
      </c>
      <c r="AK92" s="1">
        <f t="shared" si="12"/>
        <v>29</v>
      </c>
      <c r="AL92" s="10">
        <v>6.9444444444444441E-3</v>
      </c>
      <c r="AM92" s="1">
        <f t="shared" si="16"/>
        <v>14</v>
      </c>
      <c r="AN92" s="13">
        <f t="shared" si="13"/>
        <v>0.48275862068965519</v>
      </c>
      <c r="AO92" s="14">
        <f t="shared" si="14"/>
        <v>0</v>
      </c>
      <c r="AP92" s="1" t="str">
        <f>VLOOKUP(B92,Hoja3!$A$1:$B$14,2,0)</f>
        <v>CESADO</v>
      </c>
      <c r="AQ92" s="1" t="str">
        <f t="shared" si="23"/>
        <v>YAEL ALARCON</v>
      </c>
      <c r="AR92" s="1">
        <f t="shared" si="18"/>
        <v>18</v>
      </c>
      <c r="AS92" s="1" t="str">
        <f t="shared" si="19"/>
        <v>ALARCON MONTALVAN</v>
      </c>
      <c r="AT92" s="1">
        <f t="shared" si="20"/>
        <v>8</v>
      </c>
      <c r="AU92" s="1" t="str">
        <f t="shared" si="21"/>
        <v>YAEL ASHLEY</v>
      </c>
      <c r="AV92" s="1">
        <f t="shared" si="22"/>
        <v>5</v>
      </c>
    </row>
    <row r="93" spans="1:48">
      <c r="A93" s="2" t="s">
        <v>81</v>
      </c>
      <c r="B93" s="2" t="s">
        <v>82</v>
      </c>
      <c r="C93" s="2" t="s">
        <v>83</v>
      </c>
      <c r="D93" s="2" t="s">
        <v>49</v>
      </c>
      <c r="E93" s="5">
        <v>0</v>
      </c>
      <c r="F93" s="5">
        <v>1.3888888888888889E-3</v>
      </c>
      <c r="G93" s="5">
        <v>1.3888888888888888E-2</v>
      </c>
      <c r="H93" s="5">
        <v>0</v>
      </c>
      <c r="I93" s="5">
        <v>1.1805555555555555E-2</v>
      </c>
      <c r="J93" s="5">
        <v>0</v>
      </c>
      <c r="K93" s="5">
        <v>0</v>
      </c>
      <c r="L93" s="5">
        <v>0</v>
      </c>
      <c r="M93" s="5">
        <v>6.9444444444444441E-3</v>
      </c>
      <c r="N93" s="5">
        <v>0</v>
      </c>
      <c r="O93" s="5">
        <v>0</v>
      </c>
      <c r="P93" s="5">
        <v>6.9444444444444447E-4</v>
      </c>
      <c r="Q93" s="5">
        <v>4.1666666666666666E-3</v>
      </c>
      <c r="R93" s="5">
        <v>0</v>
      </c>
      <c r="S93" s="5">
        <v>0</v>
      </c>
      <c r="T93" s="5">
        <v>0</v>
      </c>
      <c r="U93" s="5">
        <v>2.7777777777777779E-3</v>
      </c>
      <c r="V93" s="5">
        <v>0</v>
      </c>
      <c r="W93" s="2" t="s">
        <v>49</v>
      </c>
      <c r="X93" s="2" t="s">
        <v>49</v>
      </c>
      <c r="Y93" s="2" t="s">
        <v>49</v>
      </c>
      <c r="Z93" s="2" t="s">
        <v>49</v>
      </c>
      <c r="AA93" s="2" t="s">
        <v>49</v>
      </c>
      <c r="AB93" s="2" t="s">
        <v>49</v>
      </c>
      <c r="AC93" s="5">
        <v>0</v>
      </c>
      <c r="AD93" s="2" t="s">
        <v>49</v>
      </c>
      <c r="AE93" s="2" t="s">
        <v>49</v>
      </c>
      <c r="AF93" s="6">
        <v>0</v>
      </c>
      <c r="AJ93" s="1">
        <v>3</v>
      </c>
      <c r="AK93" s="1">
        <f t="shared" si="12"/>
        <v>29</v>
      </c>
      <c r="AL93" s="10">
        <v>6.9444444444444441E-3</v>
      </c>
      <c r="AM93" s="1">
        <f t="shared" si="16"/>
        <v>2</v>
      </c>
      <c r="AN93" s="13">
        <f t="shared" si="13"/>
        <v>6.8965517241379309E-2</v>
      </c>
      <c r="AO93" s="14">
        <f t="shared" si="14"/>
        <v>9</v>
      </c>
      <c r="AP93" s="1" t="s">
        <v>203</v>
      </c>
      <c r="AQ93" s="1" t="str">
        <f t="shared" si="23"/>
        <v>JORGE CORDOVA</v>
      </c>
      <c r="AR93" s="1">
        <f t="shared" si="18"/>
        <v>17</v>
      </c>
      <c r="AS93" s="1" t="str">
        <f t="shared" si="19"/>
        <v>CORDOVA ZEVALLOS</v>
      </c>
      <c r="AT93" s="1">
        <f t="shared" si="20"/>
        <v>8</v>
      </c>
      <c r="AU93" s="1" t="str">
        <f t="shared" si="21"/>
        <v>JORGE ENRIQUE</v>
      </c>
      <c r="AV93" s="1">
        <f t="shared" si="22"/>
        <v>6</v>
      </c>
    </row>
    <row r="94" spans="1:48">
      <c r="A94" s="2" t="s">
        <v>3</v>
      </c>
      <c r="B94" s="2" t="s">
        <v>4</v>
      </c>
      <c r="C94" s="2" t="s">
        <v>5</v>
      </c>
      <c r="D94" s="5">
        <v>2.5000000000000001E-2</v>
      </c>
      <c r="E94" s="5">
        <v>3.4027777777777775E-2</v>
      </c>
      <c r="F94" s="5">
        <v>2.2916666666666665E-2</v>
      </c>
      <c r="G94" s="5">
        <v>0</v>
      </c>
      <c r="H94" s="5">
        <v>0</v>
      </c>
      <c r="I94" s="2" t="s">
        <v>104</v>
      </c>
      <c r="J94" s="5">
        <v>3.2638888888888891E-2</v>
      </c>
      <c r="K94" s="5">
        <v>8.3333333333333332E-3</v>
      </c>
      <c r="L94" s="5">
        <v>3.9583333333333331E-2</v>
      </c>
      <c r="M94" s="5">
        <v>1.5277777777777777E-2</v>
      </c>
      <c r="N94" s="5">
        <v>1.1111111111111112E-2</v>
      </c>
      <c r="O94" s="5">
        <v>0</v>
      </c>
      <c r="P94" s="5">
        <v>0</v>
      </c>
      <c r="Q94" s="5">
        <v>3.125E-2</v>
      </c>
      <c r="R94" s="5">
        <v>2.9166666666666667E-2</v>
      </c>
      <c r="S94" s="5">
        <v>0</v>
      </c>
      <c r="T94" s="5">
        <v>0</v>
      </c>
      <c r="U94" s="5">
        <v>4.8611111111111112E-3</v>
      </c>
      <c r="V94" s="5">
        <v>0</v>
      </c>
      <c r="W94" s="5">
        <v>0</v>
      </c>
      <c r="X94" s="5">
        <v>2.5000000000000001E-2</v>
      </c>
      <c r="Y94" s="5">
        <v>2.7777777777777776E-2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3.125E-2</v>
      </c>
      <c r="AG94" s="5">
        <v>3.9583333333333331E-2</v>
      </c>
      <c r="AH94" s="5">
        <v>3.4027777777777775E-2</v>
      </c>
      <c r="AI94" s="2"/>
      <c r="AJ94" s="1">
        <v>4</v>
      </c>
      <c r="AK94" s="1">
        <f t="shared" si="12"/>
        <v>31</v>
      </c>
      <c r="AL94" s="10">
        <v>6.9444444444444441E-3</v>
      </c>
      <c r="AM94" s="1">
        <f t="shared" si="16"/>
        <v>15</v>
      </c>
      <c r="AN94" s="13">
        <f t="shared" si="13"/>
        <v>0.4838709677419355</v>
      </c>
      <c r="AO94" s="14">
        <f t="shared" si="14"/>
        <v>0</v>
      </c>
      <c r="AP94" s="1" t="s">
        <v>203</v>
      </c>
      <c r="AQ94" s="1" t="str">
        <f t="shared" si="23"/>
        <v>ROCIO CACERES</v>
      </c>
      <c r="AR94" s="1">
        <f t="shared" si="18"/>
        <v>16</v>
      </c>
      <c r="AS94" s="1" t="str">
        <f t="shared" si="19"/>
        <v>CACERES CORDOVA</v>
      </c>
      <c r="AT94" s="1">
        <f t="shared" si="20"/>
        <v>8</v>
      </c>
      <c r="AU94" s="1" t="str">
        <f t="shared" si="21"/>
        <v>ROCIO SANDRA</v>
      </c>
      <c r="AV94" s="1">
        <f t="shared" si="22"/>
        <v>6</v>
      </c>
    </row>
    <row r="95" spans="1:48">
      <c r="A95" s="2" t="s">
        <v>8</v>
      </c>
      <c r="B95" s="2" t="s">
        <v>9</v>
      </c>
      <c r="C95" s="2" t="s">
        <v>10</v>
      </c>
      <c r="D95" s="5">
        <v>3.7499999999999999E-2</v>
      </c>
      <c r="E95" s="5">
        <v>1.3888888888888888E-2</v>
      </c>
      <c r="F95" s="5">
        <v>0</v>
      </c>
      <c r="G95" s="5">
        <v>0</v>
      </c>
      <c r="H95" s="5">
        <v>0</v>
      </c>
      <c r="I95" s="5">
        <v>3.3333333333333333E-2</v>
      </c>
      <c r="J95" s="5">
        <v>3.7499999999999999E-2</v>
      </c>
      <c r="K95" s="5">
        <v>2.361111111111111E-2</v>
      </c>
      <c r="L95" s="5">
        <v>3.5416666666666666E-2</v>
      </c>
      <c r="M95" s="5">
        <v>1.0416666666666666E-2</v>
      </c>
      <c r="N95" s="5">
        <v>1.5277777777777777E-2</v>
      </c>
      <c r="O95" s="5">
        <v>0</v>
      </c>
      <c r="P95" s="5">
        <v>0</v>
      </c>
      <c r="Q95" s="5">
        <v>2.361111111111111E-2</v>
      </c>
      <c r="R95" s="5">
        <v>1.6666666666666666E-2</v>
      </c>
      <c r="S95" s="5">
        <v>0</v>
      </c>
      <c r="T95" s="5">
        <v>3.4722222222222224E-2</v>
      </c>
      <c r="U95" s="5">
        <v>4.1666666666666666E-3</v>
      </c>
      <c r="V95" s="5">
        <v>0</v>
      </c>
      <c r="W95" s="5">
        <v>1.6666666666666666E-2</v>
      </c>
      <c r="X95" s="5">
        <v>3.0555555555555555E-2</v>
      </c>
      <c r="Y95" s="5">
        <v>2.013888888888889E-2</v>
      </c>
      <c r="Z95" s="5">
        <v>0</v>
      </c>
      <c r="AA95" s="5">
        <v>0</v>
      </c>
      <c r="AB95" s="5">
        <v>2.4305555555555556E-2</v>
      </c>
      <c r="AC95" s="5">
        <v>0</v>
      </c>
      <c r="AD95" s="5">
        <v>0</v>
      </c>
      <c r="AE95" s="5">
        <v>2.9861111111111113E-2</v>
      </c>
      <c r="AF95" s="5">
        <v>2.9861111111111113E-2</v>
      </c>
      <c r="AG95" s="5">
        <v>2.7083333333333334E-2</v>
      </c>
      <c r="AH95" s="5">
        <v>5.5555555555555558E-3</v>
      </c>
      <c r="AI95" s="2"/>
      <c r="AJ95" s="1">
        <v>4</v>
      </c>
      <c r="AK95" s="1">
        <f t="shared" si="12"/>
        <v>31</v>
      </c>
      <c r="AL95" s="10">
        <v>6.9444444444444441E-3</v>
      </c>
      <c r="AM95" s="1">
        <f t="shared" si="16"/>
        <v>18</v>
      </c>
      <c r="AN95" s="13">
        <f t="shared" si="13"/>
        <v>0.58064516129032262</v>
      </c>
      <c r="AO95" s="14">
        <f t="shared" si="14"/>
        <v>0</v>
      </c>
      <c r="AP95" s="1" t="s">
        <v>203</v>
      </c>
      <c r="AQ95" s="1" t="str">
        <f t="shared" si="23"/>
        <v>LOURDES LLANOS</v>
      </c>
      <c r="AR95" s="1">
        <f t="shared" si="18"/>
        <v>13</v>
      </c>
      <c r="AS95" s="1" t="str">
        <f t="shared" si="19"/>
        <v>LLANOS YAURI</v>
      </c>
      <c r="AT95" s="1">
        <f t="shared" si="20"/>
        <v>7</v>
      </c>
      <c r="AU95" s="1" t="str">
        <f t="shared" si="21"/>
        <v>LOURDES LUCIA</v>
      </c>
      <c r="AV95" s="1">
        <f t="shared" si="22"/>
        <v>8</v>
      </c>
    </row>
    <row r="96" spans="1:48">
      <c r="A96" s="2" t="s">
        <v>11</v>
      </c>
      <c r="B96" s="2" t="s">
        <v>12</v>
      </c>
      <c r="C96" s="2" t="s">
        <v>13</v>
      </c>
      <c r="D96" s="5">
        <v>1.5277777777777777E-2</v>
      </c>
      <c r="E96" s="5">
        <v>2.8472222222222222E-2</v>
      </c>
      <c r="F96" s="5">
        <v>1.1805555555555555E-2</v>
      </c>
      <c r="G96" s="5">
        <v>0</v>
      </c>
      <c r="H96" s="5">
        <v>0</v>
      </c>
      <c r="I96" s="5">
        <v>2.9861111111111113E-2</v>
      </c>
      <c r="J96" s="5">
        <v>1.4583333333333334E-2</v>
      </c>
      <c r="K96" s="5">
        <v>6.2500000000000003E-3</v>
      </c>
      <c r="L96" s="5">
        <v>5.5555555555555558E-3</v>
      </c>
      <c r="M96" s="5">
        <v>6.9444444444444447E-4</v>
      </c>
      <c r="N96" s="5">
        <v>2.0833333333333333E-3</v>
      </c>
      <c r="O96" s="5">
        <v>0</v>
      </c>
      <c r="P96" s="5">
        <v>0</v>
      </c>
      <c r="Q96" s="5">
        <v>2.7777777777777776E-2</v>
      </c>
      <c r="R96" s="5">
        <v>0</v>
      </c>
      <c r="S96" s="5">
        <v>0</v>
      </c>
      <c r="T96" s="5">
        <v>0</v>
      </c>
      <c r="U96" s="5">
        <v>7.6388888888888886E-3</v>
      </c>
      <c r="V96" s="5">
        <v>0</v>
      </c>
      <c r="W96" s="5">
        <v>2.4305555555555556E-2</v>
      </c>
      <c r="X96" s="5">
        <v>1.0416666666666666E-2</v>
      </c>
      <c r="Y96" s="5">
        <v>1.3194444444444444E-2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1.3194444444444444E-2</v>
      </c>
      <c r="AF96" s="5">
        <v>1.4583333333333334E-2</v>
      </c>
      <c r="AG96" s="5">
        <v>1.4583333333333334E-2</v>
      </c>
      <c r="AH96" s="5">
        <v>2.7777777777777779E-3</v>
      </c>
      <c r="AI96" s="2"/>
      <c r="AJ96" s="1">
        <v>4</v>
      </c>
      <c r="AK96" s="1">
        <f t="shared" si="12"/>
        <v>31</v>
      </c>
      <c r="AL96" s="10">
        <v>6.9444444444444441E-3</v>
      </c>
      <c r="AM96" s="1">
        <f t="shared" si="16"/>
        <v>13</v>
      </c>
      <c r="AN96" s="13">
        <f t="shared" si="13"/>
        <v>0.41935483870967744</v>
      </c>
      <c r="AO96" s="14">
        <f t="shared" si="14"/>
        <v>0</v>
      </c>
      <c r="AP96" s="1" t="s">
        <v>203</v>
      </c>
      <c r="AQ96" s="1" t="str">
        <f t="shared" ref="AQ96:AQ97" si="25">CONCATENATE(AU96," ",(MID(AS96,1,AT96-1)))</f>
        <v>MARIELLA TICLLA</v>
      </c>
      <c r="AR96" s="1">
        <f t="shared" si="18"/>
        <v>13</v>
      </c>
      <c r="AS96" s="1" t="str">
        <f t="shared" si="19"/>
        <v>TICLLA RAMOS</v>
      </c>
      <c r="AT96" s="1">
        <f t="shared" si="20"/>
        <v>7</v>
      </c>
      <c r="AU96" s="1" t="str">
        <f t="shared" si="21"/>
        <v>MARIELLA</v>
      </c>
      <c r="AV96" s="1" t="e">
        <f t="shared" si="22"/>
        <v>#VALUE!</v>
      </c>
    </row>
    <row r="97" spans="1:48">
      <c r="A97" s="2" t="s">
        <v>14</v>
      </c>
      <c r="B97" s="2" t="s">
        <v>15</v>
      </c>
      <c r="C97" s="2" t="s">
        <v>16</v>
      </c>
      <c r="D97" s="5">
        <v>1.5277777777777777E-2</v>
      </c>
      <c r="E97" s="5">
        <v>5.5555555555555558E-3</v>
      </c>
      <c r="F97" s="5">
        <v>9.7222222222222224E-3</v>
      </c>
      <c r="G97" s="5">
        <v>0</v>
      </c>
      <c r="H97" s="5">
        <v>0</v>
      </c>
      <c r="I97" s="5">
        <v>1.9444444444444445E-2</v>
      </c>
      <c r="J97" s="5">
        <v>5.5555555555555558E-3</v>
      </c>
      <c r="K97" s="5">
        <v>1.0416666666666666E-2</v>
      </c>
      <c r="L97" s="5">
        <v>1.1111111111111112E-2</v>
      </c>
      <c r="M97" s="5">
        <v>3.472222222222222E-3</v>
      </c>
      <c r="N97" s="2" t="s">
        <v>53</v>
      </c>
      <c r="O97" s="5">
        <v>0</v>
      </c>
      <c r="P97" s="5">
        <v>0</v>
      </c>
      <c r="Q97" s="5">
        <v>1.3888888888888888E-2</v>
      </c>
      <c r="R97" s="5">
        <v>0</v>
      </c>
      <c r="S97" s="5">
        <v>0</v>
      </c>
      <c r="T97" s="5">
        <v>2.8472222222222222E-2</v>
      </c>
      <c r="U97" s="5">
        <v>7.6388888888888886E-3</v>
      </c>
      <c r="V97" s="5">
        <v>0</v>
      </c>
      <c r="W97" s="5">
        <v>1.6666666666666666E-2</v>
      </c>
      <c r="X97" s="5">
        <v>1.4583333333333334E-2</v>
      </c>
      <c r="Y97" s="5">
        <v>9.7222222222222224E-3</v>
      </c>
      <c r="Z97" s="5">
        <v>0</v>
      </c>
      <c r="AA97" s="5">
        <v>0</v>
      </c>
      <c r="AB97" s="5">
        <v>7.6388888888888886E-3</v>
      </c>
      <c r="AC97" s="5">
        <v>0</v>
      </c>
      <c r="AD97" s="5">
        <v>0</v>
      </c>
      <c r="AE97" s="5">
        <v>1.8749999999999999E-2</v>
      </c>
      <c r="AF97" s="5">
        <v>0</v>
      </c>
      <c r="AG97" s="5">
        <v>0</v>
      </c>
      <c r="AH97" s="5">
        <v>4.1666666666666666E-3</v>
      </c>
      <c r="AI97" s="2"/>
      <c r="AJ97" s="1">
        <v>4</v>
      </c>
      <c r="AK97" s="1">
        <f t="shared" si="12"/>
        <v>31</v>
      </c>
      <c r="AL97" s="10">
        <v>6.9444444444444441E-3</v>
      </c>
      <c r="AM97" s="1">
        <f t="shared" si="16"/>
        <v>13</v>
      </c>
      <c r="AN97" s="13">
        <f t="shared" si="13"/>
        <v>0.41935483870967744</v>
      </c>
      <c r="AO97" s="14">
        <f t="shared" si="14"/>
        <v>0</v>
      </c>
      <c r="AP97" s="1" t="s">
        <v>203</v>
      </c>
      <c r="AQ97" s="1" t="str">
        <f t="shared" si="25"/>
        <v>RICHARD PARIONA</v>
      </c>
      <c r="AR97" s="1">
        <f t="shared" si="18"/>
        <v>14</v>
      </c>
      <c r="AS97" s="1" t="str">
        <f t="shared" si="19"/>
        <v>PARIONA ROSAS</v>
      </c>
      <c r="AT97" s="1">
        <f t="shared" si="20"/>
        <v>8</v>
      </c>
      <c r="AU97" s="1" t="str">
        <f t="shared" si="21"/>
        <v>RICHARD</v>
      </c>
      <c r="AV97" s="1" t="e">
        <f t="shared" si="22"/>
        <v>#VALUE!</v>
      </c>
    </row>
    <row r="98" spans="1:48">
      <c r="A98" s="2" t="s">
        <v>17</v>
      </c>
      <c r="B98" s="2" t="s">
        <v>18</v>
      </c>
      <c r="C98" s="2" t="s">
        <v>19</v>
      </c>
      <c r="D98" s="5">
        <v>7.6388888888888886E-3</v>
      </c>
      <c r="E98" s="5">
        <v>1.3888888888888889E-3</v>
      </c>
      <c r="F98" s="5">
        <v>1.2500000000000001E-2</v>
      </c>
      <c r="G98" s="5">
        <v>0</v>
      </c>
      <c r="H98" s="5">
        <v>0</v>
      </c>
      <c r="I98" s="5">
        <v>1.3888888888888888E-2</v>
      </c>
      <c r="J98" s="5">
        <v>7.6388888888888886E-3</v>
      </c>
      <c r="K98" s="5">
        <v>8.3333333333333332E-3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1.3888888888888889E-3</v>
      </c>
      <c r="U98" s="5">
        <v>0</v>
      </c>
      <c r="V98" s="5">
        <v>0</v>
      </c>
      <c r="W98" s="5">
        <v>1.6666666666666666E-2</v>
      </c>
      <c r="X98" s="5">
        <v>0</v>
      </c>
      <c r="Y98" s="5">
        <v>0</v>
      </c>
      <c r="Z98" s="5">
        <v>0</v>
      </c>
      <c r="AA98" s="5">
        <v>0</v>
      </c>
      <c r="AB98" s="5">
        <v>1.3888888888888889E-3</v>
      </c>
      <c r="AC98" s="5">
        <v>0</v>
      </c>
      <c r="AD98" s="5">
        <v>0</v>
      </c>
      <c r="AE98" s="5">
        <v>6.9444444444444441E-3</v>
      </c>
      <c r="AF98" s="5">
        <v>4.1666666666666666E-3</v>
      </c>
      <c r="AG98" s="5">
        <v>9.7222222222222224E-3</v>
      </c>
      <c r="AH98" s="5">
        <v>5.5555555555555558E-3</v>
      </c>
      <c r="AI98" s="2"/>
      <c r="AJ98" s="1">
        <v>4</v>
      </c>
      <c r="AK98" s="1">
        <f t="shared" si="12"/>
        <v>31</v>
      </c>
      <c r="AL98" s="10">
        <v>6.9444444444444441E-3</v>
      </c>
      <c r="AM98" s="1">
        <f t="shared" si="16"/>
        <v>7</v>
      </c>
      <c r="AN98" s="13">
        <f t="shared" si="13"/>
        <v>0.22580645161290322</v>
      </c>
      <c r="AO98" s="14">
        <f t="shared" si="14"/>
        <v>0</v>
      </c>
      <c r="AP98" s="1" t="s">
        <v>203</v>
      </c>
      <c r="AQ98" s="1" t="str">
        <f t="shared" si="23"/>
        <v>STEPHEN LLANOS</v>
      </c>
      <c r="AR98" s="1">
        <f t="shared" si="18"/>
        <v>16</v>
      </c>
      <c r="AS98" s="1" t="str">
        <f t="shared" si="19"/>
        <v>LLANOS ANTAURCO</v>
      </c>
      <c r="AT98" s="1">
        <f t="shared" si="20"/>
        <v>7</v>
      </c>
      <c r="AU98" s="1" t="str">
        <f t="shared" si="21"/>
        <v>STEPHEN BORIS</v>
      </c>
      <c r="AV98" s="1">
        <f t="shared" si="22"/>
        <v>8</v>
      </c>
    </row>
    <row r="99" spans="1:48">
      <c r="A99" s="2" t="s">
        <v>20</v>
      </c>
      <c r="B99" s="2" t="s">
        <v>21</v>
      </c>
      <c r="C99" s="2" t="s">
        <v>22</v>
      </c>
      <c r="D99" s="5">
        <v>0</v>
      </c>
      <c r="E99" s="5">
        <v>1.4583333333333334E-2</v>
      </c>
      <c r="F99" s="5">
        <v>1.2500000000000001E-2</v>
      </c>
      <c r="G99" s="5">
        <v>0</v>
      </c>
      <c r="H99" s="5">
        <v>0</v>
      </c>
      <c r="I99" s="5">
        <v>3.125E-2</v>
      </c>
      <c r="J99" s="5">
        <v>1.6666666666666666E-2</v>
      </c>
      <c r="K99" s="5">
        <v>1.8749999999999999E-2</v>
      </c>
      <c r="L99" s="5">
        <v>2.0833333333333332E-2</v>
      </c>
      <c r="M99" s="5">
        <v>1.5277777777777777E-2</v>
      </c>
      <c r="N99" s="5">
        <v>1.3194444444444444E-2</v>
      </c>
      <c r="O99" s="5">
        <v>0</v>
      </c>
      <c r="P99" s="5">
        <v>0</v>
      </c>
      <c r="Q99" s="5">
        <v>0</v>
      </c>
      <c r="R99" s="5">
        <v>1.8749999999999999E-2</v>
      </c>
      <c r="S99" s="5">
        <v>0</v>
      </c>
      <c r="T99" s="5">
        <v>2.2222222222222223E-2</v>
      </c>
      <c r="U99" s="5">
        <v>1.2500000000000001E-2</v>
      </c>
      <c r="V99" s="5">
        <v>0</v>
      </c>
      <c r="W99" s="5">
        <v>2.9861111111111113E-2</v>
      </c>
      <c r="X99" s="5">
        <v>1.9444444444444445E-2</v>
      </c>
      <c r="Y99" s="5">
        <v>2.7777777777777779E-3</v>
      </c>
      <c r="Z99" s="5">
        <v>0</v>
      </c>
      <c r="AA99" s="5">
        <v>0</v>
      </c>
      <c r="AB99" s="5">
        <v>8.3333333333333332E-3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2"/>
      <c r="AJ99" s="1">
        <v>4</v>
      </c>
      <c r="AK99" s="1">
        <f t="shared" si="12"/>
        <v>31</v>
      </c>
      <c r="AL99" s="10">
        <v>6.9444444444444441E-3</v>
      </c>
      <c r="AM99" s="1">
        <f t="shared" si="16"/>
        <v>14</v>
      </c>
      <c r="AN99" s="13">
        <f t="shared" si="13"/>
        <v>0.45161290322580644</v>
      </c>
      <c r="AO99" s="14">
        <f t="shared" si="14"/>
        <v>0</v>
      </c>
      <c r="AP99" s="1" t="s">
        <v>203</v>
      </c>
      <c r="AQ99" s="1" t="str">
        <f t="shared" si="23"/>
        <v>LUZ CCAMA</v>
      </c>
      <c r="AR99" s="1">
        <f t="shared" si="18"/>
        <v>12</v>
      </c>
      <c r="AS99" s="1" t="str">
        <f t="shared" si="19"/>
        <v>CCAMA ARONI</v>
      </c>
      <c r="AT99" s="1">
        <f t="shared" si="20"/>
        <v>6</v>
      </c>
      <c r="AU99" s="1" t="str">
        <f t="shared" si="21"/>
        <v>LUZ MIRELLA</v>
      </c>
      <c r="AV99" s="1">
        <f t="shared" si="22"/>
        <v>4</v>
      </c>
    </row>
    <row r="100" spans="1:48">
      <c r="A100" s="2" t="s">
        <v>23</v>
      </c>
      <c r="B100" s="2" t="s">
        <v>24</v>
      </c>
      <c r="C100" s="2" t="s">
        <v>25</v>
      </c>
      <c r="D100" s="5">
        <v>1.3194444444444444E-2</v>
      </c>
      <c r="E100" s="5">
        <v>8.3333333333333332E-3</v>
      </c>
      <c r="F100" s="5">
        <v>1.3888888888888888E-2</v>
      </c>
      <c r="G100" s="5">
        <v>0</v>
      </c>
      <c r="H100" s="5">
        <v>0</v>
      </c>
      <c r="I100" s="5">
        <v>6.2500000000000003E-3</v>
      </c>
      <c r="J100" s="5">
        <v>1.3888888888888888E-2</v>
      </c>
      <c r="K100" s="5">
        <v>1.5972222222222221E-2</v>
      </c>
      <c r="L100" s="5">
        <v>1.9444444444444445E-2</v>
      </c>
      <c r="M100" s="5">
        <v>1.9444444444444445E-2</v>
      </c>
      <c r="N100" s="5">
        <v>1.0416666666666666E-2</v>
      </c>
      <c r="O100" s="5">
        <v>0</v>
      </c>
      <c r="P100" s="5">
        <v>0</v>
      </c>
      <c r="Q100" s="5">
        <v>1.3194444444444444E-2</v>
      </c>
      <c r="R100" s="5">
        <v>0</v>
      </c>
      <c r="S100" s="5">
        <v>0</v>
      </c>
      <c r="T100" s="5">
        <v>3.472222222222222E-3</v>
      </c>
      <c r="U100" s="5">
        <v>3.472222222222222E-3</v>
      </c>
      <c r="V100" s="5">
        <v>0</v>
      </c>
      <c r="W100" s="5">
        <v>1.7361111111111112E-2</v>
      </c>
      <c r="X100" s="5">
        <v>1.2500000000000001E-2</v>
      </c>
      <c r="Y100" s="5">
        <v>7.6388888888888886E-3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2.6388888888888889E-2</v>
      </c>
      <c r="AF100" s="5">
        <v>8.3333333333333332E-3</v>
      </c>
      <c r="AG100" s="5">
        <v>5.5555555555555558E-3</v>
      </c>
      <c r="AH100" s="5">
        <v>1.3888888888888888E-2</v>
      </c>
      <c r="AI100" s="2"/>
      <c r="AJ100" s="1">
        <v>4</v>
      </c>
      <c r="AK100" s="1">
        <f t="shared" si="12"/>
        <v>31</v>
      </c>
      <c r="AL100" s="10">
        <v>6.9444444444444441E-3</v>
      </c>
      <c r="AM100" s="1">
        <f t="shared" si="16"/>
        <v>15</v>
      </c>
      <c r="AN100" s="13">
        <f t="shared" si="13"/>
        <v>0.4838709677419355</v>
      </c>
      <c r="AO100" s="14">
        <f t="shared" si="14"/>
        <v>0</v>
      </c>
      <c r="AP100" s="1" t="s">
        <v>201</v>
      </c>
      <c r="AQ100" s="1" t="str">
        <f t="shared" si="23"/>
        <v>ANDREA CAYCHO</v>
      </c>
      <c r="AR100" s="1">
        <f t="shared" si="18"/>
        <v>14</v>
      </c>
      <c r="AS100" s="1" t="str">
        <f t="shared" si="19"/>
        <v>CAYCHO HUANCA</v>
      </c>
      <c r="AT100" s="1">
        <f t="shared" si="20"/>
        <v>7</v>
      </c>
      <c r="AU100" s="1" t="str">
        <f t="shared" si="21"/>
        <v>ANDREA ALESSANDRA</v>
      </c>
      <c r="AV100" s="1">
        <f t="shared" si="22"/>
        <v>7</v>
      </c>
    </row>
    <row r="101" spans="1:48">
      <c r="A101" s="2" t="s">
        <v>106</v>
      </c>
      <c r="B101" s="2" t="s">
        <v>107</v>
      </c>
      <c r="C101" s="2" t="s">
        <v>108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2.0833333333333333E-3</v>
      </c>
      <c r="AI101" s="2"/>
      <c r="AJ101" s="1">
        <v>4</v>
      </c>
      <c r="AK101" s="1">
        <f t="shared" si="12"/>
        <v>31</v>
      </c>
      <c r="AL101" s="10">
        <v>6.9444444444444441E-3</v>
      </c>
      <c r="AM101" s="1">
        <f t="shared" si="16"/>
        <v>0</v>
      </c>
      <c r="AN101" s="13">
        <f t="shared" si="13"/>
        <v>0</v>
      </c>
      <c r="AO101" s="14">
        <f t="shared" si="14"/>
        <v>0</v>
      </c>
      <c r="AP101" s="1" t="str">
        <f>VLOOKUP(B101,Hoja3!$A$1:$B$14,2,0)</f>
        <v>CESADO</v>
      </c>
      <c r="AQ101" s="1" t="str">
        <f t="shared" si="23"/>
        <v>ROCIO PAREDES</v>
      </c>
      <c r="AR101" s="1">
        <f t="shared" si="18"/>
        <v>16</v>
      </c>
      <c r="AS101" s="1" t="str">
        <f t="shared" si="19"/>
        <v>PAREDES GUILLEN</v>
      </c>
      <c r="AT101" s="1">
        <f t="shared" si="20"/>
        <v>8</v>
      </c>
      <c r="AU101" s="1" t="str">
        <f t="shared" si="21"/>
        <v>ROCIO NOEMI</v>
      </c>
      <c r="AV101" s="1">
        <f t="shared" si="22"/>
        <v>6</v>
      </c>
    </row>
    <row r="102" spans="1:48">
      <c r="A102" s="2" t="s">
        <v>151</v>
      </c>
      <c r="B102" s="2" t="s">
        <v>152</v>
      </c>
      <c r="C102" s="2" t="s">
        <v>153</v>
      </c>
      <c r="D102" s="5">
        <v>2.5694444444444443E-2</v>
      </c>
      <c r="E102" s="5">
        <v>1.9444444444444445E-2</v>
      </c>
      <c r="F102" s="5">
        <v>5.5555555555555558E-3</v>
      </c>
      <c r="G102" s="5">
        <v>0</v>
      </c>
      <c r="H102" s="5">
        <v>0</v>
      </c>
      <c r="I102" s="2" t="s">
        <v>187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2"/>
      <c r="AJ102" s="1">
        <v>4</v>
      </c>
      <c r="AK102" s="1">
        <f t="shared" si="12"/>
        <v>31</v>
      </c>
      <c r="AL102" s="10">
        <v>6.9444444444444441E-3</v>
      </c>
      <c r="AM102" s="1">
        <f t="shared" si="16"/>
        <v>2</v>
      </c>
      <c r="AN102" s="13">
        <f t="shared" si="13"/>
        <v>6.4516129032258063E-2</v>
      </c>
      <c r="AO102" s="14">
        <f t="shared" si="14"/>
        <v>0</v>
      </c>
      <c r="AP102" s="1" t="str">
        <f>VLOOKUP(B102,Hoja3!$A$1:$B$14,2,0)</f>
        <v>CESADO</v>
      </c>
      <c r="AQ102" s="1" t="str">
        <f t="shared" si="23"/>
        <v>SILVIA ASIAN</v>
      </c>
      <c r="AR102" s="1">
        <f t="shared" si="18"/>
        <v>14</v>
      </c>
      <c r="AS102" s="1" t="str">
        <f t="shared" si="19"/>
        <v>ASIAN RAMIREZ</v>
      </c>
      <c r="AT102" s="1">
        <f t="shared" si="20"/>
        <v>6</v>
      </c>
      <c r="AU102" s="1" t="str">
        <f t="shared" si="21"/>
        <v>SILVIA LARITZA</v>
      </c>
      <c r="AV102" s="1">
        <f t="shared" si="22"/>
        <v>7</v>
      </c>
    </row>
    <row r="103" spans="1:48">
      <c r="A103" s="2" t="s">
        <v>26</v>
      </c>
      <c r="B103" s="2" t="s">
        <v>27</v>
      </c>
      <c r="C103" s="2" t="s">
        <v>28</v>
      </c>
      <c r="D103" s="5">
        <v>6.9444444444444441E-3</v>
      </c>
      <c r="E103" s="5">
        <v>1.1805555555555555E-2</v>
      </c>
      <c r="F103" s="2" t="s">
        <v>112</v>
      </c>
      <c r="G103" s="5">
        <v>0</v>
      </c>
      <c r="H103" s="5">
        <v>0</v>
      </c>
      <c r="I103" s="5">
        <v>2.2222222222222223E-2</v>
      </c>
      <c r="J103" s="5">
        <v>1.5277777777777777E-2</v>
      </c>
      <c r="K103" s="5">
        <v>1.9444444444444445E-2</v>
      </c>
      <c r="L103" s="5">
        <v>1.3888888888888888E-2</v>
      </c>
      <c r="M103" s="5">
        <v>2.0833333333333332E-2</v>
      </c>
      <c r="N103" s="5">
        <v>1.0416666666666666E-2</v>
      </c>
      <c r="O103" s="5">
        <v>0</v>
      </c>
      <c r="P103" s="5">
        <v>0</v>
      </c>
      <c r="Q103" s="5">
        <v>1.9444444444444445E-2</v>
      </c>
      <c r="R103" s="5">
        <v>1.5972222222222221E-2</v>
      </c>
      <c r="S103" s="5">
        <v>0</v>
      </c>
      <c r="T103" s="5">
        <v>0</v>
      </c>
      <c r="U103" s="5">
        <v>9.0277777777777769E-3</v>
      </c>
      <c r="V103" s="5">
        <v>0</v>
      </c>
      <c r="W103" s="5">
        <v>1.6666666666666666E-2</v>
      </c>
      <c r="X103" s="5">
        <v>1.4583333333333334E-2</v>
      </c>
      <c r="Y103" s="5">
        <v>1.1805555555555555E-2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2.1527777777777778E-2</v>
      </c>
      <c r="AF103" s="5">
        <v>1.3888888888888888E-2</v>
      </c>
      <c r="AG103" s="5">
        <v>4.1666666666666666E-3</v>
      </c>
      <c r="AH103" s="5">
        <v>9.7222222222222224E-3</v>
      </c>
      <c r="AI103" s="2"/>
      <c r="AJ103" s="1">
        <v>4</v>
      </c>
      <c r="AK103" s="1">
        <f t="shared" si="12"/>
        <v>31</v>
      </c>
      <c r="AL103" s="10">
        <v>6.9444444444444441E-3</v>
      </c>
      <c r="AM103" s="1">
        <f t="shared" si="16"/>
        <v>16</v>
      </c>
      <c r="AN103" s="13">
        <f t="shared" si="13"/>
        <v>0.5161290322580645</v>
      </c>
      <c r="AO103" s="14">
        <f t="shared" si="14"/>
        <v>0</v>
      </c>
      <c r="AP103" s="1" t="s">
        <v>201</v>
      </c>
      <c r="AQ103" s="1" t="str">
        <f t="shared" si="23"/>
        <v>ANGELICA PRETELL</v>
      </c>
      <c r="AR103" s="1">
        <f t="shared" si="18"/>
        <v>16</v>
      </c>
      <c r="AS103" s="1" t="str">
        <f t="shared" si="19"/>
        <v>PRETELL PINTADO</v>
      </c>
      <c r="AT103" s="1">
        <f t="shared" si="20"/>
        <v>8</v>
      </c>
      <c r="AU103" s="1" t="str">
        <f t="shared" si="21"/>
        <v>ANGELICA DIANA</v>
      </c>
      <c r="AV103" s="1">
        <f t="shared" si="22"/>
        <v>9</v>
      </c>
    </row>
    <row r="104" spans="1:48">
      <c r="A104" s="2" t="s">
        <v>154</v>
      </c>
      <c r="B104" s="2" t="s">
        <v>155</v>
      </c>
      <c r="C104" s="2" t="s">
        <v>156</v>
      </c>
      <c r="D104" s="5">
        <v>2.0833333333333333E-3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2.0833333333333333E-3</v>
      </c>
      <c r="K104" s="5">
        <v>3.9583333333333331E-2</v>
      </c>
      <c r="L104" s="5">
        <v>6.9444444444444441E-3</v>
      </c>
      <c r="M104" s="5">
        <v>0</v>
      </c>
      <c r="N104" s="2" t="s">
        <v>105</v>
      </c>
      <c r="O104" s="5">
        <v>0</v>
      </c>
      <c r="P104" s="5">
        <v>0</v>
      </c>
      <c r="Q104" s="2" t="s">
        <v>104</v>
      </c>
      <c r="R104" s="5">
        <v>0</v>
      </c>
      <c r="S104" s="5">
        <v>0</v>
      </c>
      <c r="T104" s="5">
        <v>6.2500000000000003E-3</v>
      </c>
      <c r="U104" s="5">
        <v>1.8055555555555554E-2</v>
      </c>
      <c r="V104" s="5">
        <v>0</v>
      </c>
      <c r="W104" s="2" t="s">
        <v>67</v>
      </c>
      <c r="X104" s="5">
        <v>1.3888888888888889E-3</v>
      </c>
      <c r="Y104" s="5">
        <v>1.5277777777777777E-2</v>
      </c>
      <c r="Z104" s="5">
        <v>0</v>
      </c>
      <c r="AA104" s="5">
        <v>0</v>
      </c>
      <c r="AB104" s="5">
        <v>1.2500000000000001E-2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2"/>
      <c r="AJ104" s="1">
        <v>4</v>
      </c>
      <c r="AK104" s="1">
        <f t="shared" si="12"/>
        <v>31</v>
      </c>
      <c r="AL104" s="10">
        <v>6.9444444444444441E-3</v>
      </c>
      <c r="AM104" s="1">
        <f t="shared" si="16"/>
        <v>4</v>
      </c>
      <c r="AN104" s="13">
        <f t="shared" si="13"/>
        <v>0.12903225806451613</v>
      </c>
      <c r="AO104" s="14">
        <f t="shared" si="14"/>
        <v>0</v>
      </c>
      <c r="AP104" s="1" t="str">
        <f>VLOOKUP(B104,Hoja3!$A$1:$B$14,2,0)</f>
        <v>CESADO</v>
      </c>
      <c r="AQ104" s="1" t="str">
        <f t="shared" si="23"/>
        <v>SAMANTHA TENORIO</v>
      </c>
      <c r="AR104" s="1">
        <f t="shared" si="18"/>
        <v>14</v>
      </c>
      <c r="AS104" s="1" t="str">
        <f t="shared" si="19"/>
        <v>TENORIO FELIX</v>
      </c>
      <c r="AT104" s="1">
        <f t="shared" si="20"/>
        <v>8</v>
      </c>
      <c r="AU104" s="1" t="str">
        <f t="shared" si="21"/>
        <v>SAMANTHA NICOLLE</v>
      </c>
      <c r="AV104" s="1">
        <f t="shared" si="22"/>
        <v>9</v>
      </c>
    </row>
    <row r="105" spans="1:48">
      <c r="A105" s="2" t="s">
        <v>29</v>
      </c>
      <c r="B105" s="2" t="s">
        <v>30</v>
      </c>
      <c r="C105" s="2" t="s">
        <v>31</v>
      </c>
      <c r="D105" s="5">
        <v>3.472222222222222E-3</v>
      </c>
      <c r="E105" s="5">
        <v>0</v>
      </c>
      <c r="F105" s="5">
        <v>0</v>
      </c>
      <c r="G105" s="5">
        <v>0</v>
      </c>
      <c r="H105" s="5">
        <v>0</v>
      </c>
      <c r="I105" s="2" t="s">
        <v>125</v>
      </c>
      <c r="J105" s="5">
        <v>0</v>
      </c>
      <c r="K105" s="5">
        <v>4.1666666666666666E-3</v>
      </c>
      <c r="L105" s="2" t="s">
        <v>49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8.3333333333333332E-3</v>
      </c>
      <c r="V105" s="5">
        <v>0</v>
      </c>
      <c r="W105" s="5">
        <v>2.361111111111111E-2</v>
      </c>
      <c r="X105" s="5">
        <v>0</v>
      </c>
      <c r="Y105" s="5">
        <v>1.5277777777777777E-2</v>
      </c>
      <c r="Z105" s="5">
        <v>0</v>
      </c>
      <c r="AA105" s="5">
        <v>0</v>
      </c>
      <c r="AB105" s="2" t="s">
        <v>49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2"/>
      <c r="AJ105" s="1">
        <v>4</v>
      </c>
      <c r="AK105" s="1">
        <f t="shared" si="12"/>
        <v>31</v>
      </c>
      <c r="AL105" s="10">
        <v>6.9444444444444441E-3</v>
      </c>
      <c r="AM105" s="1">
        <f t="shared" si="16"/>
        <v>3</v>
      </c>
      <c r="AN105" s="13">
        <f t="shared" si="13"/>
        <v>9.6774193548387094E-2</v>
      </c>
      <c r="AO105" s="14">
        <f t="shared" si="14"/>
        <v>2</v>
      </c>
      <c r="AP105" s="1" t="s">
        <v>203</v>
      </c>
      <c r="AQ105" s="1" t="str">
        <f t="shared" si="23"/>
        <v>CARLOS LOPEZ</v>
      </c>
      <c r="AR105" s="1">
        <f t="shared" si="18"/>
        <v>13</v>
      </c>
      <c r="AS105" s="1" t="str">
        <f t="shared" si="19"/>
        <v>LOPEZ FARIAS</v>
      </c>
      <c r="AT105" s="1">
        <f t="shared" si="20"/>
        <v>6</v>
      </c>
      <c r="AU105" s="1" t="str">
        <f t="shared" si="21"/>
        <v>CARLOS JOAQUIN</v>
      </c>
      <c r="AV105" s="1">
        <f t="shared" si="22"/>
        <v>7</v>
      </c>
    </row>
    <row r="106" spans="1:48">
      <c r="A106" s="2" t="s">
        <v>130</v>
      </c>
      <c r="B106" s="2" t="s">
        <v>131</v>
      </c>
      <c r="C106" s="2" t="s">
        <v>132</v>
      </c>
      <c r="D106" s="5">
        <v>9.7222222222222224E-3</v>
      </c>
      <c r="E106" s="5">
        <v>2.2916666666666665E-2</v>
      </c>
      <c r="F106" s="5">
        <v>3.0555555555555555E-2</v>
      </c>
      <c r="G106" s="5">
        <v>0</v>
      </c>
      <c r="H106" s="5">
        <v>0</v>
      </c>
      <c r="I106" s="5">
        <v>2.5694444444444443E-2</v>
      </c>
      <c r="J106" s="5">
        <v>0</v>
      </c>
      <c r="K106" s="2" t="s">
        <v>117</v>
      </c>
      <c r="L106" s="5">
        <v>1.9444444444444445E-2</v>
      </c>
      <c r="M106" s="5">
        <v>3.7499999999999999E-2</v>
      </c>
      <c r="N106" s="5">
        <v>0</v>
      </c>
      <c r="O106" s="5">
        <v>0</v>
      </c>
      <c r="P106" s="5">
        <v>0</v>
      </c>
      <c r="Q106" s="5">
        <v>4.8611111111111112E-3</v>
      </c>
      <c r="R106" s="5">
        <v>2.0833333333333333E-3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3.472222222222222E-3</v>
      </c>
      <c r="AC106" s="5">
        <v>0</v>
      </c>
      <c r="AD106" s="5">
        <v>0</v>
      </c>
      <c r="AE106" s="5">
        <v>1.3888888888888888E-2</v>
      </c>
      <c r="AF106" s="5">
        <v>6.2500000000000003E-3</v>
      </c>
      <c r="AG106" s="5">
        <v>1.8749999999999999E-2</v>
      </c>
      <c r="AH106" s="5">
        <v>1.5277777777777777E-2</v>
      </c>
      <c r="AI106" s="2"/>
      <c r="AJ106" s="1">
        <v>4</v>
      </c>
      <c r="AK106" s="1">
        <f t="shared" si="12"/>
        <v>31</v>
      </c>
      <c r="AL106" s="10">
        <v>6.9444444444444441E-3</v>
      </c>
      <c r="AM106" s="1">
        <f t="shared" si="16"/>
        <v>9</v>
      </c>
      <c r="AN106" s="13">
        <f t="shared" si="13"/>
        <v>0.29032258064516131</v>
      </c>
      <c r="AO106" s="14">
        <f t="shared" si="14"/>
        <v>0</v>
      </c>
      <c r="AP106" s="1" t="str">
        <f>VLOOKUP(B106,Hoja3!$A$1:$B$14,2,0)</f>
        <v>CESADO</v>
      </c>
      <c r="AQ106" s="1" t="str">
        <f t="shared" si="23"/>
        <v>JEFFERSON LOPEZ</v>
      </c>
      <c r="AR106" s="1">
        <f t="shared" si="18"/>
        <v>11</v>
      </c>
      <c r="AS106" s="1" t="str">
        <f t="shared" si="19"/>
        <v>LOPEZ CRUZ</v>
      </c>
      <c r="AT106" s="1">
        <f t="shared" si="20"/>
        <v>6</v>
      </c>
      <c r="AU106" s="1" t="str">
        <f t="shared" si="21"/>
        <v>JEFFERSON NORMAN</v>
      </c>
      <c r="AV106" s="1">
        <f t="shared" si="22"/>
        <v>10</v>
      </c>
    </row>
    <row r="107" spans="1:48">
      <c r="A107" s="2" t="s">
        <v>32</v>
      </c>
      <c r="B107" s="2" t="s">
        <v>33</v>
      </c>
      <c r="C107" s="2" t="s">
        <v>34</v>
      </c>
      <c r="D107" s="5">
        <v>2.0833333333333333E-3</v>
      </c>
      <c r="E107" s="5">
        <v>6.9444444444444447E-4</v>
      </c>
      <c r="F107" s="5">
        <v>4.8611111111111112E-3</v>
      </c>
      <c r="G107" s="5">
        <v>0</v>
      </c>
      <c r="H107" s="5">
        <v>0</v>
      </c>
      <c r="I107" s="5">
        <v>7.6388888888888886E-3</v>
      </c>
      <c r="J107" s="5">
        <v>0</v>
      </c>
      <c r="K107" s="5">
        <v>8.3333333333333332E-3</v>
      </c>
      <c r="L107" s="5">
        <v>0</v>
      </c>
      <c r="M107" s="5">
        <v>0</v>
      </c>
      <c r="N107" s="5">
        <v>2.0833333333333333E-3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5.5555555555555558E-3</v>
      </c>
      <c r="U107" s="5">
        <v>0</v>
      </c>
      <c r="V107" s="5">
        <v>0</v>
      </c>
      <c r="W107" s="5">
        <v>1.3888888888888889E-3</v>
      </c>
      <c r="X107" s="5">
        <v>0</v>
      </c>
      <c r="Y107" s="5">
        <v>2.2222222222222223E-2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6.9444444444444441E-3</v>
      </c>
      <c r="AF107" s="5">
        <v>6.2500000000000003E-3</v>
      </c>
      <c r="AG107" s="5">
        <v>6.9444444444444447E-4</v>
      </c>
      <c r="AH107" s="5">
        <v>0</v>
      </c>
      <c r="AI107" s="2"/>
      <c r="AJ107" s="1">
        <v>4</v>
      </c>
      <c r="AK107" s="1">
        <f t="shared" si="12"/>
        <v>31</v>
      </c>
      <c r="AL107" s="10">
        <v>6.9444444444444441E-3</v>
      </c>
      <c r="AM107" s="1">
        <f t="shared" si="16"/>
        <v>3</v>
      </c>
      <c r="AN107" s="13">
        <f t="shared" si="13"/>
        <v>9.6774193548387094E-2</v>
      </c>
      <c r="AO107" s="14">
        <f t="shared" si="14"/>
        <v>0</v>
      </c>
      <c r="AP107" s="1" t="s">
        <v>203</v>
      </c>
      <c r="AQ107" s="1" t="str">
        <f t="shared" si="23"/>
        <v>RONY CRUZ</v>
      </c>
      <c r="AR107" s="1">
        <f t="shared" si="18"/>
        <v>11</v>
      </c>
      <c r="AS107" s="1" t="str">
        <f t="shared" si="19"/>
        <v>CRUZ TAIPE</v>
      </c>
      <c r="AT107" s="1">
        <f t="shared" si="20"/>
        <v>5</v>
      </c>
      <c r="AU107" s="1" t="str">
        <f t="shared" si="21"/>
        <v>RONY WALDIR</v>
      </c>
      <c r="AV107" s="1">
        <f t="shared" si="22"/>
        <v>5</v>
      </c>
    </row>
    <row r="108" spans="1:48">
      <c r="A108" s="2" t="s">
        <v>36</v>
      </c>
      <c r="B108" s="2" t="s">
        <v>37</v>
      </c>
      <c r="C108" s="2" t="s">
        <v>38</v>
      </c>
      <c r="D108" s="5">
        <v>7.6388888888888886E-3</v>
      </c>
      <c r="E108" s="5">
        <v>4.8611111111111112E-3</v>
      </c>
      <c r="F108" s="5">
        <v>1.1111111111111112E-2</v>
      </c>
      <c r="G108" s="5">
        <v>0</v>
      </c>
      <c r="H108" s="5">
        <v>0</v>
      </c>
      <c r="I108" s="5">
        <v>0</v>
      </c>
      <c r="J108" s="5">
        <v>5.5555555555555558E-3</v>
      </c>
      <c r="K108" s="5">
        <v>4.8611111111111112E-3</v>
      </c>
      <c r="L108" s="5">
        <v>0</v>
      </c>
      <c r="M108" s="5">
        <v>1.3888888888888889E-3</v>
      </c>
      <c r="N108" s="5">
        <v>0</v>
      </c>
      <c r="O108" s="5">
        <v>0</v>
      </c>
      <c r="P108" s="5">
        <v>0</v>
      </c>
      <c r="Q108" s="5">
        <v>3.472222222222222E-3</v>
      </c>
      <c r="R108" s="5">
        <v>1.6666666666666666E-2</v>
      </c>
      <c r="S108" s="5">
        <v>0</v>
      </c>
      <c r="T108" s="5">
        <v>4.1666666666666666E-3</v>
      </c>
      <c r="U108" s="5">
        <v>0</v>
      </c>
      <c r="V108" s="5">
        <v>0</v>
      </c>
      <c r="W108" s="5">
        <v>1.8749999999999999E-2</v>
      </c>
      <c r="X108" s="5">
        <v>0</v>
      </c>
      <c r="Y108" s="5">
        <v>2.0833333333333333E-3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1.3888888888888888E-2</v>
      </c>
      <c r="AF108" s="2" t="s">
        <v>116</v>
      </c>
      <c r="AG108" s="5">
        <v>2.4305555555555556E-2</v>
      </c>
      <c r="AH108" s="5">
        <v>0</v>
      </c>
      <c r="AI108" s="2"/>
      <c r="AJ108" s="1">
        <v>4</v>
      </c>
      <c r="AK108" s="1">
        <f t="shared" si="12"/>
        <v>31</v>
      </c>
      <c r="AL108" s="10">
        <v>6.9444444444444441E-3</v>
      </c>
      <c r="AM108" s="1">
        <f t="shared" si="16"/>
        <v>6</v>
      </c>
      <c r="AN108" s="13">
        <f t="shared" si="13"/>
        <v>0.19354838709677419</v>
      </c>
      <c r="AO108" s="14">
        <f t="shared" si="14"/>
        <v>0</v>
      </c>
      <c r="AP108" s="1" t="s">
        <v>201</v>
      </c>
      <c r="AQ108" s="1" t="str">
        <f t="shared" si="23"/>
        <v>MARQUIÑO ANDRADE</v>
      </c>
      <c r="AR108" s="1">
        <f t="shared" si="18"/>
        <v>13</v>
      </c>
      <c r="AS108" s="1" t="str">
        <f t="shared" si="19"/>
        <v>ANDRADE MERA</v>
      </c>
      <c r="AT108" s="1">
        <f t="shared" si="20"/>
        <v>8</v>
      </c>
      <c r="AU108" s="1" t="str">
        <f t="shared" si="21"/>
        <v>MARQUIÑO ANTONY</v>
      </c>
      <c r="AV108" s="1">
        <f t="shared" si="22"/>
        <v>9</v>
      </c>
    </row>
    <row r="109" spans="1:48">
      <c r="A109" s="2" t="s">
        <v>134</v>
      </c>
      <c r="B109" s="2" t="s">
        <v>135</v>
      </c>
      <c r="C109" s="2" t="s">
        <v>136</v>
      </c>
      <c r="D109" s="5">
        <v>1.8055555555555554E-2</v>
      </c>
      <c r="E109" s="5">
        <v>4.0972222222222222E-2</v>
      </c>
      <c r="F109" s="5">
        <v>3.9583333333333331E-2</v>
      </c>
      <c r="G109" s="5">
        <v>0</v>
      </c>
      <c r="H109" s="5">
        <v>0</v>
      </c>
      <c r="I109" s="2" t="s">
        <v>188</v>
      </c>
      <c r="J109" s="5">
        <v>2.8472222222222222E-2</v>
      </c>
      <c r="K109" s="5">
        <v>6.9444444444444441E-3</v>
      </c>
      <c r="L109" s="5">
        <v>3.125E-2</v>
      </c>
      <c r="M109" s="5">
        <v>2.5694444444444443E-2</v>
      </c>
      <c r="N109" s="2" t="s">
        <v>49</v>
      </c>
      <c r="O109" s="5">
        <v>0</v>
      </c>
      <c r="P109" s="5">
        <v>0</v>
      </c>
      <c r="Q109" s="5">
        <v>6.2500000000000003E-3</v>
      </c>
      <c r="R109" s="5">
        <v>2.4305555555555556E-2</v>
      </c>
      <c r="S109" s="5">
        <v>0</v>
      </c>
      <c r="T109" s="5">
        <v>2.2222222222222223E-2</v>
      </c>
      <c r="U109" s="5">
        <v>6.2500000000000003E-3</v>
      </c>
      <c r="V109" s="5">
        <v>0</v>
      </c>
      <c r="W109" s="5">
        <v>0</v>
      </c>
      <c r="X109" s="5">
        <v>1.4583333333333334E-2</v>
      </c>
      <c r="Y109" s="2" t="s">
        <v>115</v>
      </c>
      <c r="Z109" s="5">
        <v>0</v>
      </c>
      <c r="AA109" s="5">
        <v>0</v>
      </c>
      <c r="AB109" s="5">
        <v>1.5972222222222221E-2</v>
      </c>
      <c r="AC109" s="5">
        <v>0</v>
      </c>
      <c r="AD109" s="5">
        <v>0</v>
      </c>
      <c r="AE109" s="5">
        <v>1.6666666666666666E-2</v>
      </c>
      <c r="AF109" s="5">
        <v>2.6388888888888889E-2</v>
      </c>
      <c r="AG109" s="2" t="s">
        <v>52</v>
      </c>
      <c r="AH109" s="5">
        <v>2.361111111111111E-2</v>
      </c>
      <c r="AI109" s="2"/>
      <c r="AJ109" s="1">
        <v>4</v>
      </c>
      <c r="AK109" s="1">
        <f t="shared" ref="AK109:AK123" si="26">COUNTA(D109:AI109)</f>
        <v>31</v>
      </c>
      <c r="AL109" s="10">
        <v>6.9444444444444441E-3</v>
      </c>
      <c r="AM109" s="1">
        <f t="shared" si="16"/>
        <v>13</v>
      </c>
      <c r="AN109" s="13">
        <f t="shared" ref="AN109:AN123" si="27">+AM109/AK109</f>
        <v>0.41935483870967744</v>
      </c>
      <c r="AO109" s="14">
        <f t="shared" ref="AO109:AO123" si="28">COUNTIF(D109:AI109,"F")</f>
        <v>1</v>
      </c>
      <c r="AP109" s="1" t="str">
        <f>VLOOKUP(B109,Hoja3!$A$1:$B$14,2,0)</f>
        <v>CESADO</v>
      </c>
      <c r="AQ109" s="1" t="str">
        <f t="shared" si="23"/>
        <v>LITTA CLAROS</v>
      </c>
      <c r="AR109" s="1">
        <f t="shared" si="18"/>
        <v>13</v>
      </c>
      <c r="AS109" s="1" t="str">
        <f t="shared" si="19"/>
        <v>CLAROS NIETO</v>
      </c>
      <c r="AT109" s="1">
        <f t="shared" si="20"/>
        <v>7</v>
      </c>
      <c r="AU109" s="1" t="str">
        <f t="shared" si="21"/>
        <v>LITTA DANERY</v>
      </c>
      <c r="AV109" s="1">
        <f t="shared" si="22"/>
        <v>6</v>
      </c>
    </row>
    <row r="110" spans="1:48">
      <c r="A110" s="2" t="s">
        <v>39</v>
      </c>
      <c r="B110" s="2" t="s">
        <v>40</v>
      </c>
      <c r="C110" s="2" t="s">
        <v>41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1.3888888888888889E-3</v>
      </c>
      <c r="J110" s="5">
        <v>0</v>
      </c>
      <c r="K110" s="5">
        <v>2.7777777777777779E-3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2.7777777777777779E-3</v>
      </c>
      <c r="U110" s="5">
        <v>2.0833333333333333E-3</v>
      </c>
      <c r="V110" s="5">
        <v>0</v>
      </c>
      <c r="W110" s="5">
        <v>1.6666666666666666E-2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5.5555555555555558E-3</v>
      </c>
      <c r="AH110" s="5">
        <v>4.1666666666666666E-3</v>
      </c>
      <c r="AI110" s="2"/>
      <c r="AJ110" s="1">
        <v>4</v>
      </c>
      <c r="AK110" s="1">
        <f t="shared" si="26"/>
        <v>31</v>
      </c>
      <c r="AL110" s="10">
        <v>6.9444444444444441E-3</v>
      </c>
      <c r="AM110" s="1">
        <f t="shared" si="16"/>
        <v>1</v>
      </c>
      <c r="AN110" s="13">
        <f t="shared" si="27"/>
        <v>3.2258064516129031E-2</v>
      </c>
      <c r="AO110" s="14">
        <f t="shared" si="28"/>
        <v>0</v>
      </c>
      <c r="AP110" s="1" t="s">
        <v>203</v>
      </c>
      <c r="AQ110" s="1" t="str">
        <f t="shared" si="23"/>
        <v>FRANCISCO MEJIA</v>
      </c>
      <c r="AR110" s="1">
        <f t="shared" si="18"/>
        <v>13</v>
      </c>
      <c r="AS110" s="1" t="str">
        <f t="shared" si="19"/>
        <v>MEJIA TORRES</v>
      </c>
      <c r="AT110" s="1">
        <f t="shared" si="20"/>
        <v>6</v>
      </c>
      <c r="AU110" s="1" t="str">
        <f t="shared" si="21"/>
        <v>FRANCISCO JAVIER</v>
      </c>
      <c r="AV110" s="1">
        <f t="shared" si="22"/>
        <v>10</v>
      </c>
    </row>
    <row r="111" spans="1:48">
      <c r="A111" s="2" t="s">
        <v>42</v>
      </c>
      <c r="B111" s="2" t="s">
        <v>43</v>
      </c>
      <c r="C111" s="2" t="s">
        <v>44</v>
      </c>
      <c r="D111" s="5">
        <v>1.0416666666666666E-2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5.5555555555555558E-3</v>
      </c>
      <c r="K111" s="5">
        <v>9.7222222222222224E-3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3.6111111111111108E-2</v>
      </c>
      <c r="R111" s="5">
        <v>0</v>
      </c>
      <c r="S111" s="5">
        <v>0</v>
      </c>
      <c r="T111" s="5">
        <v>1.1805555555555555E-2</v>
      </c>
      <c r="U111" s="5">
        <v>0</v>
      </c>
      <c r="V111" s="5">
        <v>0</v>
      </c>
      <c r="W111" s="5">
        <v>4.027777777777778E-2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1.1805555555555555E-2</v>
      </c>
      <c r="AF111" s="5">
        <v>0</v>
      </c>
      <c r="AG111" s="5">
        <v>0</v>
      </c>
      <c r="AH111" s="5">
        <v>0</v>
      </c>
      <c r="AI111" s="2"/>
      <c r="AJ111" s="1">
        <v>4</v>
      </c>
      <c r="AK111" s="1">
        <f t="shared" si="26"/>
        <v>31</v>
      </c>
      <c r="AL111" s="10">
        <v>6.9444444444444441E-3</v>
      </c>
      <c r="AM111" s="1">
        <f t="shared" si="16"/>
        <v>6</v>
      </c>
      <c r="AN111" s="13">
        <f t="shared" si="27"/>
        <v>0.19354838709677419</v>
      </c>
      <c r="AO111" s="14">
        <f t="shared" si="28"/>
        <v>0</v>
      </c>
      <c r="AP111" s="1" t="s">
        <v>203</v>
      </c>
      <c r="AQ111" s="1" t="str">
        <f t="shared" si="23"/>
        <v>CARLOS GUEVARA</v>
      </c>
      <c r="AR111" s="1">
        <f t="shared" si="18"/>
        <v>16</v>
      </c>
      <c r="AS111" s="1" t="str">
        <f t="shared" si="19"/>
        <v>GUEVARA CABELLO</v>
      </c>
      <c r="AT111" s="1">
        <f t="shared" si="20"/>
        <v>8</v>
      </c>
      <c r="AU111" s="1" t="str">
        <f t="shared" si="21"/>
        <v>CARLOS JEANPIERRE</v>
      </c>
      <c r="AV111" s="1">
        <f t="shared" si="22"/>
        <v>7</v>
      </c>
    </row>
    <row r="112" spans="1:48">
      <c r="A112" s="2" t="s">
        <v>54</v>
      </c>
      <c r="B112" s="2" t="s">
        <v>55</v>
      </c>
      <c r="C112" s="2" t="s">
        <v>56</v>
      </c>
      <c r="D112" s="5">
        <v>2.013888888888889E-2</v>
      </c>
      <c r="E112" s="5">
        <v>1.1111111111111112E-2</v>
      </c>
      <c r="F112" s="5">
        <v>2.2222222222222223E-2</v>
      </c>
      <c r="G112" s="5">
        <v>0</v>
      </c>
      <c r="H112" s="5">
        <v>0</v>
      </c>
      <c r="I112" s="5">
        <v>2.013888888888889E-2</v>
      </c>
      <c r="J112" s="5">
        <v>2.7777777777777779E-3</v>
      </c>
      <c r="K112" s="5">
        <v>1.6666666666666666E-2</v>
      </c>
      <c r="L112" s="5">
        <v>1.6666666666666666E-2</v>
      </c>
      <c r="M112" s="5">
        <v>6.2500000000000003E-3</v>
      </c>
      <c r="N112" s="5">
        <v>3.472222222222222E-3</v>
      </c>
      <c r="O112" s="5">
        <v>0</v>
      </c>
      <c r="P112" s="5">
        <v>0</v>
      </c>
      <c r="Q112" s="5">
        <v>1.4583333333333334E-2</v>
      </c>
      <c r="R112" s="5">
        <v>2.7083333333333334E-2</v>
      </c>
      <c r="S112" s="5">
        <v>0</v>
      </c>
      <c r="T112" s="5">
        <v>1.7361111111111112E-2</v>
      </c>
      <c r="U112" s="5">
        <v>4.1666666666666666E-3</v>
      </c>
      <c r="V112" s="5">
        <v>0</v>
      </c>
      <c r="W112" s="5">
        <v>0</v>
      </c>
      <c r="X112" s="5">
        <v>6.9444444444444447E-4</v>
      </c>
      <c r="Y112" s="5">
        <v>1.3888888888888888E-2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1.8749999999999999E-2</v>
      </c>
      <c r="AF112" s="5">
        <v>8.3333333333333332E-3</v>
      </c>
      <c r="AG112" s="5">
        <v>1.4583333333333334E-2</v>
      </c>
      <c r="AH112" s="5">
        <v>1.6666666666666666E-2</v>
      </c>
      <c r="AI112" s="2"/>
      <c r="AJ112" s="1">
        <v>4</v>
      </c>
      <c r="AK112" s="1">
        <f t="shared" si="26"/>
        <v>31</v>
      </c>
      <c r="AL112" s="10">
        <v>6.9444444444444441E-3</v>
      </c>
      <c r="AM112" s="1">
        <f t="shared" si="16"/>
        <v>14</v>
      </c>
      <c r="AN112" s="13">
        <f t="shared" si="27"/>
        <v>0.45161290322580644</v>
      </c>
      <c r="AO112" s="14">
        <f t="shared" si="28"/>
        <v>0</v>
      </c>
      <c r="AP112" s="1" t="s">
        <v>203</v>
      </c>
      <c r="AQ112" s="1" t="str">
        <f t="shared" ref="AQ112:AQ113" si="29">CONCATENATE(AU112," ",(MID(AS112,1,AT112-1)))</f>
        <v>KIMBERLLY AMES</v>
      </c>
      <c r="AR112" s="1">
        <f t="shared" si="18"/>
        <v>14</v>
      </c>
      <c r="AS112" s="1" t="str">
        <f t="shared" si="19"/>
        <v>AMES ESPINOZA</v>
      </c>
      <c r="AT112" s="1">
        <f t="shared" si="20"/>
        <v>5</v>
      </c>
      <c r="AU112" s="1" t="str">
        <f t="shared" si="21"/>
        <v>KIMBERLLY</v>
      </c>
      <c r="AV112" s="1" t="e">
        <f t="shared" si="22"/>
        <v>#VALUE!</v>
      </c>
    </row>
    <row r="113" spans="1:48">
      <c r="A113" s="2" t="s">
        <v>58</v>
      </c>
      <c r="B113" s="2" t="s">
        <v>59</v>
      </c>
      <c r="C113" s="2" t="s">
        <v>60</v>
      </c>
      <c r="D113" s="5">
        <v>1.8055555555555554E-2</v>
      </c>
      <c r="E113" s="5">
        <v>1.9444444444444445E-2</v>
      </c>
      <c r="F113" s="5">
        <v>2.2222222222222223E-2</v>
      </c>
      <c r="G113" s="5">
        <v>0</v>
      </c>
      <c r="H113" s="5">
        <v>0</v>
      </c>
      <c r="I113" s="5">
        <v>9.0277777777777769E-3</v>
      </c>
      <c r="J113" s="5">
        <v>1.8749999999999999E-2</v>
      </c>
      <c r="K113" s="5">
        <v>1.3194444444444444E-2</v>
      </c>
      <c r="L113" s="5">
        <v>1.4583333333333334E-2</v>
      </c>
      <c r="M113" s="5">
        <v>0</v>
      </c>
      <c r="N113" s="5">
        <v>1.4583333333333334E-2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2.1527777777777778E-2</v>
      </c>
      <c r="X113" s="5">
        <v>6.9444444444444441E-3</v>
      </c>
      <c r="Y113" s="5">
        <v>1.2500000000000001E-2</v>
      </c>
      <c r="Z113" s="5">
        <v>0</v>
      </c>
      <c r="AA113" s="5">
        <v>0</v>
      </c>
      <c r="AB113" s="5">
        <v>1.7361111111111112E-2</v>
      </c>
      <c r="AC113" s="5">
        <v>0</v>
      </c>
      <c r="AD113" s="5">
        <v>0</v>
      </c>
      <c r="AE113" s="5">
        <v>1.1111111111111112E-2</v>
      </c>
      <c r="AF113" s="5">
        <v>2.013888888888889E-2</v>
      </c>
      <c r="AG113" s="5">
        <v>1.4583333333333334E-2</v>
      </c>
      <c r="AH113" s="5">
        <v>1.6666666666666666E-2</v>
      </c>
      <c r="AI113" s="2"/>
      <c r="AJ113" s="1">
        <v>4</v>
      </c>
      <c r="AK113" s="1">
        <f t="shared" si="26"/>
        <v>31</v>
      </c>
      <c r="AL113" s="10">
        <v>6.9444444444444441E-3</v>
      </c>
      <c r="AM113" s="1">
        <f t="shared" si="16"/>
        <v>15</v>
      </c>
      <c r="AN113" s="13">
        <f t="shared" si="27"/>
        <v>0.4838709677419355</v>
      </c>
      <c r="AO113" s="14">
        <f t="shared" si="28"/>
        <v>0</v>
      </c>
      <c r="AP113" s="1" t="s">
        <v>203</v>
      </c>
      <c r="AQ113" s="1" t="str">
        <f t="shared" si="29"/>
        <v>LILIANA ALVARADO</v>
      </c>
      <c r="AR113" s="1">
        <f t="shared" si="18"/>
        <v>16</v>
      </c>
      <c r="AS113" s="1" t="str">
        <f t="shared" si="19"/>
        <v>ALVARADO ECHAIZ</v>
      </c>
      <c r="AT113" s="1">
        <f t="shared" si="20"/>
        <v>9</v>
      </c>
      <c r="AU113" s="1" t="str">
        <f t="shared" si="21"/>
        <v>LILIANA</v>
      </c>
      <c r="AV113" s="1" t="e">
        <f t="shared" si="22"/>
        <v>#VALUE!</v>
      </c>
    </row>
    <row r="114" spans="1:48">
      <c r="A114" s="2" t="s">
        <v>61</v>
      </c>
      <c r="B114" s="2" t="s">
        <v>62</v>
      </c>
      <c r="C114" s="2" t="s">
        <v>63</v>
      </c>
      <c r="D114" s="5">
        <v>6.9444444444444447E-4</v>
      </c>
      <c r="E114" s="5">
        <v>0</v>
      </c>
      <c r="F114" s="5">
        <v>5.5555555555555558E-3</v>
      </c>
      <c r="G114" s="5">
        <v>0</v>
      </c>
      <c r="H114" s="5">
        <v>0</v>
      </c>
      <c r="I114" s="5">
        <v>2.0833333333333333E-3</v>
      </c>
      <c r="J114" s="5">
        <v>2.0833333333333333E-3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2.0833333333333333E-3</v>
      </c>
      <c r="R114" s="5">
        <v>3.472222222222222E-3</v>
      </c>
      <c r="S114" s="5">
        <v>0</v>
      </c>
      <c r="T114" s="5">
        <v>4.1666666666666666E-3</v>
      </c>
      <c r="U114" s="5">
        <v>0</v>
      </c>
      <c r="V114" s="5">
        <v>0</v>
      </c>
      <c r="W114" s="5">
        <v>2.0833333333333333E-3</v>
      </c>
      <c r="X114" s="5">
        <v>0</v>
      </c>
      <c r="Y114" s="5">
        <v>4.8611111111111112E-3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2.0833333333333333E-3</v>
      </c>
      <c r="AF114" s="5">
        <v>0</v>
      </c>
      <c r="AG114" s="5">
        <v>1.3888888888888889E-3</v>
      </c>
      <c r="AH114" s="5">
        <v>0</v>
      </c>
      <c r="AI114" s="2"/>
      <c r="AJ114" s="1">
        <v>4</v>
      </c>
      <c r="AK114" s="1">
        <f t="shared" si="26"/>
        <v>31</v>
      </c>
      <c r="AL114" s="10">
        <v>6.9444444444444441E-3</v>
      </c>
      <c r="AM114" s="1">
        <f t="shared" si="16"/>
        <v>0</v>
      </c>
      <c r="AN114" s="13">
        <f t="shared" si="27"/>
        <v>0</v>
      </c>
      <c r="AO114" s="14">
        <f t="shared" si="28"/>
        <v>0</v>
      </c>
      <c r="AP114" s="1" t="s">
        <v>203</v>
      </c>
      <c r="AQ114" s="1" t="str">
        <f t="shared" si="23"/>
        <v>MANUEL MERMA</v>
      </c>
      <c r="AR114" s="1">
        <f t="shared" si="18"/>
        <v>12</v>
      </c>
      <c r="AS114" s="1" t="str">
        <f t="shared" si="19"/>
        <v>MERMA CHILA</v>
      </c>
      <c r="AT114" s="1">
        <f t="shared" si="20"/>
        <v>6</v>
      </c>
      <c r="AU114" s="1" t="str">
        <f t="shared" si="21"/>
        <v>MANUEL ENRIQUE</v>
      </c>
      <c r="AV114" s="1">
        <f t="shared" si="22"/>
        <v>7</v>
      </c>
    </row>
    <row r="115" spans="1:48">
      <c r="A115" s="2" t="s">
        <v>64</v>
      </c>
      <c r="B115" s="2" t="s">
        <v>65</v>
      </c>
      <c r="C115" s="2" t="s">
        <v>66</v>
      </c>
      <c r="D115" s="5">
        <v>8.3333333333333332E-3</v>
      </c>
      <c r="E115" s="5">
        <v>0</v>
      </c>
      <c r="F115" s="5">
        <v>0</v>
      </c>
      <c r="G115" s="5">
        <v>0</v>
      </c>
      <c r="H115" s="5">
        <v>0</v>
      </c>
      <c r="I115" s="5">
        <v>9.0277777777777769E-3</v>
      </c>
      <c r="J115" s="5">
        <v>1.0416666666666666E-2</v>
      </c>
      <c r="K115" s="5">
        <v>0</v>
      </c>
      <c r="L115" s="5">
        <v>1.3194444444444444E-2</v>
      </c>
      <c r="M115" s="5">
        <v>0</v>
      </c>
      <c r="N115" s="5">
        <v>3.472222222222222E-3</v>
      </c>
      <c r="O115" s="5">
        <v>0</v>
      </c>
      <c r="P115" s="5">
        <v>0</v>
      </c>
      <c r="Q115" s="5">
        <v>0</v>
      </c>
      <c r="R115" s="5">
        <v>2.361111111111111E-2</v>
      </c>
      <c r="S115" s="5">
        <v>0</v>
      </c>
      <c r="T115" s="5">
        <v>6.2500000000000003E-3</v>
      </c>
      <c r="U115" s="5">
        <v>0</v>
      </c>
      <c r="V115" s="5">
        <v>0</v>
      </c>
      <c r="W115" s="5">
        <v>0</v>
      </c>
      <c r="X115" s="5">
        <v>2.2222222222222223E-2</v>
      </c>
      <c r="Y115" s="5">
        <v>7.6388888888888886E-3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9.7222222222222224E-3</v>
      </c>
      <c r="AG115" s="5">
        <v>1.5972222222222221E-2</v>
      </c>
      <c r="AH115" s="5">
        <v>0</v>
      </c>
      <c r="AI115" s="2"/>
      <c r="AJ115" s="1">
        <v>4</v>
      </c>
      <c r="AK115" s="1">
        <f t="shared" si="26"/>
        <v>31</v>
      </c>
      <c r="AL115" s="10">
        <v>6.9444444444444441E-3</v>
      </c>
      <c r="AM115" s="1">
        <f t="shared" si="16"/>
        <v>9</v>
      </c>
      <c r="AN115" s="13">
        <f t="shared" si="27"/>
        <v>0.29032258064516131</v>
      </c>
      <c r="AO115" s="14">
        <f t="shared" si="28"/>
        <v>0</v>
      </c>
      <c r="AP115" s="1" t="s">
        <v>203</v>
      </c>
      <c r="AQ115" s="1" t="str">
        <f t="shared" si="23"/>
        <v>GRECIA SANCHEZ</v>
      </c>
      <c r="AR115" s="1">
        <f t="shared" si="18"/>
        <v>16</v>
      </c>
      <c r="AS115" s="1" t="str">
        <f t="shared" si="19"/>
        <v>SANCHEZ PANAIFO</v>
      </c>
      <c r="AT115" s="1">
        <f t="shared" si="20"/>
        <v>8</v>
      </c>
      <c r="AU115" s="1" t="str">
        <f t="shared" si="21"/>
        <v>GRECIA DANNAE</v>
      </c>
      <c r="AV115" s="1">
        <f t="shared" si="22"/>
        <v>7</v>
      </c>
    </row>
    <row r="116" spans="1:48">
      <c r="A116" s="2" t="s">
        <v>68</v>
      </c>
      <c r="B116" s="2" t="s">
        <v>69</v>
      </c>
      <c r="C116" s="2" t="s">
        <v>70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5.5555555555555558E-3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1.3888888888888889E-3</v>
      </c>
      <c r="S116" s="5">
        <v>0</v>
      </c>
      <c r="T116" s="5">
        <v>8.3333333333333332E-3</v>
      </c>
      <c r="U116" s="5">
        <v>0</v>
      </c>
      <c r="V116" s="5">
        <v>0</v>
      </c>
      <c r="W116" s="5">
        <v>4.1666666666666666E-3</v>
      </c>
      <c r="X116" s="5">
        <v>0</v>
      </c>
      <c r="Y116" s="5">
        <v>1.3888888888888888E-2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6.9444444444444447E-4</v>
      </c>
      <c r="AH116" s="5">
        <v>0</v>
      </c>
      <c r="AI116" s="2"/>
      <c r="AJ116" s="1">
        <v>4</v>
      </c>
      <c r="AK116" s="1">
        <f t="shared" si="26"/>
        <v>31</v>
      </c>
      <c r="AL116" s="10">
        <v>6.9444444444444441E-3</v>
      </c>
      <c r="AM116" s="1">
        <f t="shared" si="16"/>
        <v>2</v>
      </c>
      <c r="AN116" s="13">
        <f t="shared" si="27"/>
        <v>6.4516129032258063E-2</v>
      </c>
      <c r="AO116" s="14">
        <f t="shared" si="28"/>
        <v>0</v>
      </c>
      <c r="AP116" s="1" t="str">
        <f>VLOOKUP(B116,Hoja3!$A$1:$B$14,2,0)</f>
        <v>CESADO</v>
      </c>
      <c r="AQ116" s="1" t="str">
        <f t="shared" si="23"/>
        <v>DIANA CHAVEZ</v>
      </c>
      <c r="AR116" s="1">
        <f t="shared" si="18"/>
        <v>15</v>
      </c>
      <c r="AS116" s="1" t="str">
        <f t="shared" si="19"/>
        <v>CHAVEZ GUILLEN</v>
      </c>
      <c r="AT116" s="1">
        <f t="shared" si="20"/>
        <v>7</v>
      </c>
      <c r="AU116" s="1" t="str">
        <f t="shared" si="21"/>
        <v>DIANA CAROLINA</v>
      </c>
      <c r="AV116" s="1">
        <f t="shared" si="22"/>
        <v>6</v>
      </c>
    </row>
    <row r="117" spans="1:48">
      <c r="A117" s="2" t="s">
        <v>72</v>
      </c>
      <c r="B117" s="2" t="s">
        <v>73</v>
      </c>
      <c r="C117" s="2" t="s">
        <v>74</v>
      </c>
      <c r="D117" s="5">
        <v>1.3888888888888889E-3</v>
      </c>
      <c r="E117" s="5">
        <v>0</v>
      </c>
      <c r="F117" s="5">
        <v>2.0833333333333333E-3</v>
      </c>
      <c r="G117" s="5">
        <v>0</v>
      </c>
      <c r="H117" s="5">
        <v>0</v>
      </c>
      <c r="I117" s="5">
        <v>1.9444444444444445E-2</v>
      </c>
      <c r="J117" s="5">
        <v>0</v>
      </c>
      <c r="K117" s="5">
        <v>2.0833333333333333E-3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6.9444444444444447E-4</v>
      </c>
      <c r="R117" s="5">
        <v>0</v>
      </c>
      <c r="S117" s="5">
        <v>0</v>
      </c>
      <c r="T117" s="5">
        <v>1.3888888888888889E-3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2"/>
      <c r="AJ117" s="1">
        <v>4</v>
      </c>
      <c r="AK117" s="1">
        <f t="shared" si="26"/>
        <v>31</v>
      </c>
      <c r="AL117" s="10">
        <v>6.9444444444444441E-3</v>
      </c>
      <c r="AM117" s="1">
        <f t="shared" si="16"/>
        <v>1</v>
      </c>
      <c r="AN117" s="13">
        <f t="shared" si="27"/>
        <v>3.2258064516129031E-2</v>
      </c>
      <c r="AO117" s="14">
        <f t="shared" si="28"/>
        <v>0</v>
      </c>
      <c r="AP117" s="1" t="s">
        <v>203</v>
      </c>
      <c r="AQ117" s="1" t="str">
        <f t="shared" si="23"/>
        <v>JONATHAN URDAY</v>
      </c>
      <c r="AR117" s="1">
        <f t="shared" si="18"/>
        <v>13</v>
      </c>
      <c r="AS117" s="1" t="str">
        <f t="shared" si="19"/>
        <v>URDAY CHOQUE</v>
      </c>
      <c r="AT117" s="1">
        <f t="shared" si="20"/>
        <v>6</v>
      </c>
      <c r="AU117" s="1" t="str">
        <f t="shared" si="21"/>
        <v>JONATHAN EDGARD</v>
      </c>
      <c r="AV117" s="1">
        <f t="shared" si="22"/>
        <v>9</v>
      </c>
    </row>
    <row r="118" spans="1:48">
      <c r="A118" s="2" t="s">
        <v>121</v>
      </c>
      <c r="B118" s="2" t="s">
        <v>122</v>
      </c>
      <c r="C118" s="2" t="s">
        <v>123</v>
      </c>
      <c r="D118" s="5">
        <v>2.7777777777777779E-3</v>
      </c>
      <c r="E118" s="5">
        <v>0</v>
      </c>
      <c r="F118" s="5">
        <v>4.1666666666666666E-3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1.3888888888888889E-3</v>
      </c>
      <c r="S118" s="5">
        <v>0</v>
      </c>
      <c r="T118" s="5">
        <v>8.3333333333333332E-3</v>
      </c>
      <c r="U118" s="5">
        <v>0</v>
      </c>
      <c r="V118" s="5">
        <v>0</v>
      </c>
      <c r="W118" s="5">
        <v>1.3888888888888889E-3</v>
      </c>
      <c r="X118" s="5">
        <v>6.9444444444444447E-4</v>
      </c>
      <c r="Y118" s="5">
        <v>1.3194444444444444E-2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6.9444444444444447E-4</v>
      </c>
      <c r="AH118" s="5">
        <v>0</v>
      </c>
      <c r="AI118" s="2"/>
      <c r="AJ118" s="1">
        <v>4</v>
      </c>
      <c r="AK118" s="1">
        <f t="shared" si="26"/>
        <v>31</v>
      </c>
      <c r="AL118" s="10">
        <v>6.9444444444444441E-3</v>
      </c>
      <c r="AM118" s="1">
        <f t="shared" si="16"/>
        <v>2</v>
      </c>
      <c r="AN118" s="13">
        <f t="shared" si="27"/>
        <v>6.4516129032258063E-2</v>
      </c>
      <c r="AO118" s="14">
        <f t="shared" si="28"/>
        <v>0</v>
      </c>
      <c r="AP118" s="1" t="str">
        <f>VLOOKUP(B118,Hoja3!$A$1:$B$14,2,0)</f>
        <v>CESADO</v>
      </c>
      <c r="AQ118" s="1" t="str">
        <f t="shared" si="23"/>
        <v>MARLENE PEREZ</v>
      </c>
      <c r="AR118" s="1">
        <f t="shared" si="18"/>
        <v>11</v>
      </c>
      <c r="AS118" s="1" t="str">
        <f t="shared" si="19"/>
        <v>PEREZ VERA</v>
      </c>
      <c r="AT118" s="1">
        <f t="shared" si="20"/>
        <v>6</v>
      </c>
      <c r="AU118" s="1" t="str">
        <f t="shared" si="21"/>
        <v>MARLENE BETTY</v>
      </c>
      <c r="AV118" s="1">
        <f t="shared" si="22"/>
        <v>8</v>
      </c>
    </row>
    <row r="119" spans="1:48">
      <c r="A119" s="2" t="s">
        <v>76</v>
      </c>
      <c r="B119" s="2" t="s">
        <v>77</v>
      </c>
      <c r="C119" s="2" t="s">
        <v>78</v>
      </c>
      <c r="D119" s="5">
        <v>0</v>
      </c>
      <c r="E119" s="5">
        <v>2.7777777777777779E-3</v>
      </c>
      <c r="F119" s="5">
        <v>4.1666666666666666E-3</v>
      </c>
      <c r="G119" s="5">
        <v>0</v>
      </c>
      <c r="H119" s="5">
        <v>0</v>
      </c>
      <c r="I119" s="5">
        <v>3.4722222222222224E-2</v>
      </c>
      <c r="J119" s="5">
        <v>0</v>
      </c>
      <c r="K119" s="5">
        <v>3.4027777777777775E-2</v>
      </c>
      <c r="L119" s="5">
        <v>0</v>
      </c>
      <c r="M119" s="5">
        <v>0</v>
      </c>
      <c r="N119" s="5">
        <v>1.7361111111111112E-2</v>
      </c>
      <c r="O119" s="5">
        <v>0</v>
      </c>
      <c r="P119" s="5">
        <v>0</v>
      </c>
      <c r="Q119" s="5">
        <v>6.9444444444444447E-4</v>
      </c>
      <c r="R119" s="5">
        <v>2.8472222222222222E-2</v>
      </c>
      <c r="S119" s="5">
        <v>0</v>
      </c>
      <c r="T119" s="5">
        <v>1.9444444444444445E-2</v>
      </c>
      <c r="U119" s="5">
        <v>2.5694444444444443E-2</v>
      </c>
      <c r="V119" s="5">
        <v>0</v>
      </c>
      <c r="W119" s="5">
        <v>3.6805555555555557E-2</v>
      </c>
      <c r="X119" s="5">
        <v>3.472222222222222E-3</v>
      </c>
      <c r="Y119" s="5">
        <v>0</v>
      </c>
      <c r="Z119" s="5">
        <v>0</v>
      </c>
      <c r="AA119" s="5">
        <v>0</v>
      </c>
      <c r="AB119" s="2" t="s">
        <v>49</v>
      </c>
      <c r="AC119" s="5">
        <v>0</v>
      </c>
      <c r="AD119" s="5">
        <v>0</v>
      </c>
      <c r="AE119" s="5">
        <v>2.0833333333333333E-3</v>
      </c>
      <c r="AF119" s="2" t="s">
        <v>189</v>
      </c>
      <c r="AG119" s="5">
        <v>9.0277777777777769E-3</v>
      </c>
      <c r="AH119" s="5">
        <v>0</v>
      </c>
      <c r="AI119" s="2"/>
      <c r="AJ119" s="1">
        <v>4</v>
      </c>
      <c r="AK119" s="1">
        <f t="shared" si="26"/>
        <v>31</v>
      </c>
      <c r="AL119" s="10">
        <v>6.9444444444444441E-3</v>
      </c>
      <c r="AM119" s="1">
        <f t="shared" si="16"/>
        <v>8</v>
      </c>
      <c r="AN119" s="13">
        <f t="shared" si="27"/>
        <v>0.25806451612903225</v>
      </c>
      <c r="AO119" s="14">
        <f t="shared" si="28"/>
        <v>1</v>
      </c>
      <c r="AP119" s="1" t="str">
        <f>VLOOKUP(B119,Hoja3!$A$1:$B$14,2,0)</f>
        <v>CESADO</v>
      </c>
      <c r="AQ119" s="1" t="str">
        <f t="shared" si="23"/>
        <v>YAEL ALARCON</v>
      </c>
      <c r="AR119" s="1">
        <f t="shared" si="18"/>
        <v>18</v>
      </c>
      <c r="AS119" s="1" t="str">
        <f t="shared" si="19"/>
        <v>ALARCON MONTALVAN</v>
      </c>
      <c r="AT119" s="1">
        <f t="shared" si="20"/>
        <v>8</v>
      </c>
      <c r="AU119" s="1" t="str">
        <f t="shared" si="21"/>
        <v>YAEL ASHLEY</v>
      </c>
      <c r="AV119" s="1">
        <f t="shared" si="22"/>
        <v>5</v>
      </c>
    </row>
    <row r="120" spans="1:48">
      <c r="A120" s="2" t="s">
        <v>81</v>
      </c>
      <c r="B120" s="2" t="s">
        <v>82</v>
      </c>
      <c r="C120" s="2" t="s">
        <v>83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8.3333333333333332E-3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4.1666666666666666E-3</v>
      </c>
      <c r="V120" s="5">
        <v>0</v>
      </c>
      <c r="W120" s="5">
        <v>1.6666666666666666E-2</v>
      </c>
      <c r="X120" s="5">
        <v>2.7777777777777779E-3</v>
      </c>
      <c r="Y120" s="5">
        <v>1.2500000000000001E-2</v>
      </c>
      <c r="Z120" s="5">
        <v>0</v>
      </c>
      <c r="AA120" s="5">
        <v>0</v>
      </c>
      <c r="AB120" s="5">
        <v>9.7222222222222224E-3</v>
      </c>
      <c r="AC120" s="5">
        <v>0</v>
      </c>
      <c r="AD120" s="5">
        <v>0</v>
      </c>
      <c r="AE120" s="5">
        <v>9.7222222222222224E-3</v>
      </c>
      <c r="AF120" s="5">
        <v>2.7777777777777779E-3</v>
      </c>
      <c r="AG120" s="5">
        <v>3.472222222222222E-3</v>
      </c>
      <c r="AH120" s="5">
        <v>4.1666666666666666E-3</v>
      </c>
      <c r="AI120" s="2"/>
      <c r="AJ120" s="1">
        <v>4</v>
      </c>
      <c r="AK120" s="1">
        <f t="shared" si="26"/>
        <v>31</v>
      </c>
      <c r="AL120" s="10">
        <v>6.9444444444444441E-3</v>
      </c>
      <c r="AM120" s="1">
        <f t="shared" si="16"/>
        <v>5</v>
      </c>
      <c r="AN120" s="13">
        <f t="shared" si="27"/>
        <v>0.16129032258064516</v>
      </c>
      <c r="AO120" s="14">
        <f t="shared" si="28"/>
        <v>0</v>
      </c>
      <c r="AP120" s="1" t="s">
        <v>203</v>
      </c>
      <c r="AQ120" s="1" t="str">
        <f t="shared" si="23"/>
        <v>JORGE CORDOVA</v>
      </c>
      <c r="AR120" s="1">
        <f t="shared" si="18"/>
        <v>17</v>
      </c>
      <c r="AS120" s="1" t="str">
        <f t="shared" si="19"/>
        <v>CORDOVA ZEVALLOS</v>
      </c>
      <c r="AT120" s="1">
        <f t="shared" si="20"/>
        <v>8</v>
      </c>
      <c r="AU120" s="1" t="str">
        <f t="shared" si="21"/>
        <v>JORGE ENRIQUE</v>
      </c>
      <c r="AV120" s="1">
        <f t="shared" si="22"/>
        <v>6</v>
      </c>
    </row>
    <row r="121" spans="1:48">
      <c r="A121" s="2" t="s">
        <v>84</v>
      </c>
      <c r="B121" s="2" t="s">
        <v>85</v>
      </c>
      <c r="C121" s="2" t="s">
        <v>86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2.7777777777777779E-3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2.7777777777777779E-3</v>
      </c>
      <c r="AF121" s="5">
        <v>3.472222222222222E-3</v>
      </c>
      <c r="AG121" s="5">
        <v>1.3888888888888888E-2</v>
      </c>
      <c r="AH121" s="5">
        <v>2.7777777777777779E-3</v>
      </c>
      <c r="AI121" s="2"/>
      <c r="AJ121" s="1">
        <v>4</v>
      </c>
      <c r="AK121" s="1">
        <f t="shared" si="26"/>
        <v>31</v>
      </c>
      <c r="AL121" s="10">
        <v>6.9444444444444441E-3</v>
      </c>
      <c r="AM121" s="1">
        <f t="shared" si="16"/>
        <v>1</v>
      </c>
      <c r="AN121" s="13">
        <f t="shared" si="27"/>
        <v>3.2258064516129031E-2</v>
      </c>
      <c r="AO121" s="14">
        <f t="shared" si="28"/>
        <v>0</v>
      </c>
      <c r="AP121" s="1" t="s">
        <v>203</v>
      </c>
      <c r="AQ121" s="1" t="str">
        <f t="shared" si="23"/>
        <v>OSCAR PARIAPAZA</v>
      </c>
      <c r="AR121" s="1">
        <f t="shared" si="18"/>
        <v>21</v>
      </c>
      <c r="AS121" s="1" t="str">
        <f t="shared" si="19"/>
        <v>PARIAPAZA DE LA CRUZ</v>
      </c>
      <c r="AT121" s="1">
        <f t="shared" si="20"/>
        <v>10</v>
      </c>
      <c r="AU121" s="1" t="str">
        <f t="shared" si="21"/>
        <v>OSCAR ANTONIO</v>
      </c>
      <c r="AV121" s="1">
        <f t="shared" si="22"/>
        <v>6</v>
      </c>
    </row>
    <row r="122" spans="1:48">
      <c r="A122" s="2" t="s">
        <v>87</v>
      </c>
      <c r="B122" s="2" t="s">
        <v>88</v>
      </c>
      <c r="C122" s="2" t="s">
        <v>89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6.9444444444444447E-4</v>
      </c>
      <c r="Y122" s="5">
        <v>9.7222222222222224E-3</v>
      </c>
      <c r="Z122" s="5">
        <v>0</v>
      </c>
      <c r="AA122" s="5">
        <v>0</v>
      </c>
      <c r="AB122" s="5">
        <v>2.0833333333333333E-3</v>
      </c>
      <c r="AC122" s="5">
        <v>0</v>
      </c>
      <c r="AD122" s="5">
        <v>0</v>
      </c>
      <c r="AE122" s="5">
        <v>3.472222222222222E-3</v>
      </c>
      <c r="AF122" s="5">
        <v>0</v>
      </c>
      <c r="AG122" s="5">
        <v>0</v>
      </c>
      <c r="AH122" s="5">
        <v>0</v>
      </c>
      <c r="AI122" s="2"/>
      <c r="AJ122" s="1">
        <v>4</v>
      </c>
      <c r="AK122" s="1">
        <f t="shared" si="26"/>
        <v>31</v>
      </c>
      <c r="AL122" s="10">
        <v>6.9444444444444441E-3</v>
      </c>
      <c r="AM122" s="1">
        <f t="shared" si="16"/>
        <v>1</v>
      </c>
      <c r="AN122" s="13">
        <f t="shared" si="27"/>
        <v>3.2258064516129031E-2</v>
      </c>
      <c r="AO122" s="14">
        <f t="shared" si="28"/>
        <v>0</v>
      </c>
      <c r="AP122" s="1" t="s">
        <v>203</v>
      </c>
      <c r="AQ122" s="1" t="str">
        <f t="shared" si="23"/>
        <v>ALEXANDER LUJAN</v>
      </c>
      <c r="AR122" s="1">
        <f t="shared" si="18"/>
        <v>17</v>
      </c>
      <c r="AS122" s="1" t="str">
        <f t="shared" si="19"/>
        <v>LUJAN VILCAÑAUPA</v>
      </c>
      <c r="AT122" s="1">
        <f t="shared" si="20"/>
        <v>6</v>
      </c>
      <c r="AU122" s="1" t="str">
        <f t="shared" si="21"/>
        <v>ALEXANDER MATIAS</v>
      </c>
      <c r="AV122" s="1">
        <f t="shared" si="22"/>
        <v>10</v>
      </c>
    </row>
    <row r="123" spans="1:48">
      <c r="A123" s="2" t="s">
        <v>90</v>
      </c>
      <c r="B123" s="2" t="s">
        <v>91</v>
      </c>
      <c r="C123" s="2" t="s">
        <v>92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2.0833333333333333E-3</v>
      </c>
      <c r="AH123" s="5">
        <v>0</v>
      </c>
      <c r="AI123" s="2"/>
      <c r="AJ123" s="1">
        <v>4</v>
      </c>
      <c r="AK123" s="1">
        <f t="shared" si="26"/>
        <v>31</v>
      </c>
      <c r="AL123" s="10">
        <v>6.9444444444444441E-3</v>
      </c>
      <c r="AM123" s="1">
        <f t="shared" si="16"/>
        <v>0</v>
      </c>
      <c r="AN123" s="13">
        <f t="shared" si="27"/>
        <v>0</v>
      </c>
      <c r="AO123" s="14">
        <f t="shared" si="28"/>
        <v>0</v>
      </c>
      <c r="AP123" s="1" t="s">
        <v>203</v>
      </c>
      <c r="AQ123" s="1" t="str">
        <f t="shared" si="23"/>
        <v>LEONEL LAURA</v>
      </c>
      <c r="AR123" s="1">
        <f t="shared" si="18"/>
        <v>12</v>
      </c>
      <c r="AS123" s="1" t="str">
        <f t="shared" si="19"/>
        <v>LAURA APAZA</v>
      </c>
      <c r="AT123" s="1">
        <f t="shared" si="20"/>
        <v>6</v>
      </c>
      <c r="AU123" s="1" t="str">
        <f t="shared" si="21"/>
        <v>LEONEL ALEX</v>
      </c>
      <c r="AV123" s="1">
        <f t="shared" si="22"/>
        <v>7</v>
      </c>
    </row>
    <row r="124" spans="1:48">
      <c r="A124" s="3" t="s">
        <v>3</v>
      </c>
      <c r="B124" s="3" t="s">
        <v>4</v>
      </c>
      <c r="C124" s="3" t="s">
        <v>5</v>
      </c>
      <c r="D124" s="4">
        <v>0</v>
      </c>
      <c r="E124" s="4">
        <v>0</v>
      </c>
      <c r="F124" s="4">
        <v>3.4027777777777775E-2</v>
      </c>
      <c r="G124" s="4">
        <v>4.027777777777778E-2</v>
      </c>
      <c r="H124" s="4">
        <v>2.0833333333333332E-2</v>
      </c>
      <c r="I124" s="4">
        <v>0</v>
      </c>
      <c r="J124" s="4">
        <v>6.2500000000000003E-3</v>
      </c>
      <c r="K124" s="4">
        <v>4.1666666666666666E-3</v>
      </c>
      <c r="L124" s="4">
        <v>0</v>
      </c>
      <c r="M124" s="3" t="s">
        <v>128</v>
      </c>
      <c r="N124" s="4">
        <v>2.5694444444444443E-2</v>
      </c>
      <c r="O124" s="3" t="s">
        <v>103</v>
      </c>
      <c r="P124" s="4">
        <v>2.1527777777777778E-2</v>
      </c>
      <c r="Q124" s="4">
        <v>0</v>
      </c>
      <c r="R124" s="4">
        <v>6.9444444444444441E-3</v>
      </c>
      <c r="S124" s="4">
        <v>0</v>
      </c>
      <c r="T124" s="4">
        <v>2.7777777777777776E-2</v>
      </c>
      <c r="U124" s="4">
        <v>2.0833333333333332E-2</v>
      </c>
      <c r="V124" s="4">
        <v>0</v>
      </c>
      <c r="W124" s="4">
        <v>2.8472222222222222E-2</v>
      </c>
      <c r="X124" s="4">
        <v>2.7777777777777776E-2</v>
      </c>
      <c r="Y124" s="4">
        <v>0</v>
      </c>
      <c r="Z124" s="4">
        <v>0</v>
      </c>
      <c r="AA124" s="4">
        <v>3.9583333333333331E-2</v>
      </c>
      <c r="AB124" s="4">
        <v>2.5694444444444443E-2</v>
      </c>
      <c r="AC124" s="4">
        <v>2.7777777777777776E-2</v>
      </c>
      <c r="AD124" s="4">
        <v>2.5694444444444443E-2</v>
      </c>
      <c r="AE124" s="4">
        <v>2.7083333333333334E-2</v>
      </c>
      <c r="AF124" s="4">
        <v>2.1527777777777778E-2</v>
      </c>
      <c r="AG124" s="4">
        <v>0</v>
      </c>
      <c r="AJ124" s="1">
        <v>5</v>
      </c>
      <c r="AK124" s="1">
        <f t="shared" ref="AK124:AK132" si="30">COUNTA(D124:AI124)</f>
        <v>30</v>
      </c>
      <c r="AL124" s="10">
        <v>6.9444444444444441E-3</v>
      </c>
      <c r="AM124" s="1">
        <f t="shared" si="16"/>
        <v>15</v>
      </c>
      <c r="AN124" s="13">
        <f t="shared" ref="AN124:AN132" si="31">+AM124/AK124</f>
        <v>0.5</v>
      </c>
      <c r="AO124" s="14">
        <f t="shared" ref="AO124:AO132" si="32">COUNTIF(D124:AI124,"F")</f>
        <v>0</v>
      </c>
      <c r="AP124" s="1" t="s">
        <v>203</v>
      </c>
      <c r="AQ124" s="1" t="str">
        <f t="shared" si="23"/>
        <v>ROCIO CACERES</v>
      </c>
      <c r="AR124" s="1">
        <f t="shared" si="18"/>
        <v>16</v>
      </c>
      <c r="AS124" s="1" t="str">
        <f t="shared" si="19"/>
        <v>CACERES CORDOVA</v>
      </c>
      <c r="AT124" s="1">
        <f t="shared" si="20"/>
        <v>8</v>
      </c>
      <c r="AU124" s="1" t="str">
        <f t="shared" si="21"/>
        <v>ROCIO SANDRA</v>
      </c>
      <c r="AV124" s="1">
        <f t="shared" si="22"/>
        <v>6</v>
      </c>
    </row>
    <row r="125" spans="1:48">
      <c r="A125" s="3" t="s">
        <v>8</v>
      </c>
      <c r="B125" s="3" t="s">
        <v>9</v>
      </c>
      <c r="C125" s="3" t="s">
        <v>10</v>
      </c>
      <c r="D125" s="4">
        <v>0</v>
      </c>
      <c r="E125" s="4">
        <v>0</v>
      </c>
      <c r="F125" s="4">
        <v>3.5416666666666666E-2</v>
      </c>
      <c r="G125" s="4">
        <v>3.9583333333333331E-2</v>
      </c>
      <c r="H125" s="4">
        <v>0</v>
      </c>
      <c r="I125" s="4">
        <v>0</v>
      </c>
      <c r="J125" s="4">
        <v>1.0416666666666666E-2</v>
      </c>
      <c r="K125" s="4">
        <v>5.5555555555555558E-3</v>
      </c>
      <c r="L125" s="4">
        <v>0</v>
      </c>
      <c r="M125" s="4">
        <v>2.013888888888889E-2</v>
      </c>
      <c r="N125" s="4">
        <v>2.5000000000000001E-2</v>
      </c>
      <c r="O125" s="4">
        <v>1.8749999999999999E-2</v>
      </c>
      <c r="P125" s="4">
        <v>2.5000000000000001E-2</v>
      </c>
      <c r="Q125" s="4">
        <v>2.0833333333333332E-2</v>
      </c>
      <c r="R125" s="4">
        <v>1.3888888888888889E-3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3.7499999999999999E-2</v>
      </c>
      <c r="AF125" s="4">
        <v>1.6666666666666666E-2</v>
      </c>
      <c r="AG125" s="4">
        <v>0</v>
      </c>
      <c r="AJ125" s="1">
        <v>5</v>
      </c>
      <c r="AK125" s="1">
        <f t="shared" si="30"/>
        <v>30</v>
      </c>
      <c r="AL125" s="10">
        <v>6.9444444444444441E-3</v>
      </c>
      <c r="AM125" s="1">
        <f t="shared" si="16"/>
        <v>10</v>
      </c>
      <c r="AN125" s="13">
        <f t="shared" si="31"/>
        <v>0.33333333333333331</v>
      </c>
      <c r="AO125" s="14">
        <f t="shared" si="32"/>
        <v>0</v>
      </c>
      <c r="AP125" s="1" t="s">
        <v>203</v>
      </c>
      <c r="AQ125" s="1" t="str">
        <f t="shared" si="23"/>
        <v>LOURDES LLANOS</v>
      </c>
      <c r="AR125" s="1">
        <f t="shared" si="18"/>
        <v>13</v>
      </c>
      <c r="AS125" s="1" t="str">
        <f t="shared" si="19"/>
        <v>LLANOS YAURI</v>
      </c>
      <c r="AT125" s="1">
        <f t="shared" si="20"/>
        <v>7</v>
      </c>
      <c r="AU125" s="1" t="str">
        <f t="shared" si="21"/>
        <v>LOURDES LUCIA</v>
      </c>
      <c r="AV125" s="1">
        <f t="shared" si="22"/>
        <v>8</v>
      </c>
    </row>
    <row r="126" spans="1:48">
      <c r="A126" s="3" t="s">
        <v>11</v>
      </c>
      <c r="B126" s="3" t="s">
        <v>12</v>
      </c>
      <c r="C126" s="3" t="s">
        <v>13</v>
      </c>
      <c r="D126" s="4">
        <v>1.7361111111111112E-2</v>
      </c>
      <c r="E126" s="4">
        <v>0</v>
      </c>
      <c r="F126" s="4">
        <v>2.2222222222222223E-2</v>
      </c>
      <c r="G126" s="4">
        <v>1.7361111111111112E-2</v>
      </c>
      <c r="H126" s="4">
        <v>1.1111111111111112E-2</v>
      </c>
      <c r="I126" s="4">
        <v>0</v>
      </c>
      <c r="J126" s="4">
        <v>8.3333333333333332E-3</v>
      </c>
      <c r="K126" s="4">
        <v>7.6388888888888886E-3</v>
      </c>
      <c r="L126" s="4">
        <v>0</v>
      </c>
      <c r="M126" s="3" t="s">
        <v>128</v>
      </c>
      <c r="N126" s="4">
        <v>1.5277777777777777E-2</v>
      </c>
      <c r="O126" s="4">
        <v>1.7361111111111112E-2</v>
      </c>
      <c r="P126" s="4">
        <v>7.6388888888888886E-3</v>
      </c>
      <c r="Q126" s="4">
        <v>1.3194444444444444E-2</v>
      </c>
      <c r="R126" s="4">
        <v>1.5277777777777777E-2</v>
      </c>
      <c r="S126" s="4">
        <v>0</v>
      </c>
      <c r="T126" s="4">
        <v>1.7361111111111112E-2</v>
      </c>
      <c r="U126" s="4">
        <v>1.5277777777777777E-2</v>
      </c>
      <c r="V126" s="4">
        <v>0</v>
      </c>
      <c r="W126" s="4">
        <v>1.3888888888888888E-2</v>
      </c>
      <c r="X126" s="4">
        <v>5.5555555555555558E-3</v>
      </c>
      <c r="Y126" s="4">
        <v>9.0277777777777769E-3</v>
      </c>
      <c r="Z126" s="4">
        <v>0</v>
      </c>
      <c r="AA126" s="4">
        <v>3.5416666666666666E-2</v>
      </c>
      <c r="AB126" s="3" t="s">
        <v>49</v>
      </c>
      <c r="AC126" s="4">
        <v>3.8194444444444448E-2</v>
      </c>
      <c r="AD126" s="4">
        <v>1.1111111111111112E-2</v>
      </c>
      <c r="AE126" s="4">
        <v>2.361111111111111E-2</v>
      </c>
      <c r="AF126" s="4">
        <v>6.9444444444444441E-3</v>
      </c>
      <c r="AG126" s="4">
        <v>0</v>
      </c>
      <c r="AJ126" s="1">
        <v>5</v>
      </c>
      <c r="AK126" s="1">
        <f t="shared" si="30"/>
        <v>30</v>
      </c>
      <c r="AL126" s="10">
        <v>6.9444444444444441E-3</v>
      </c>
      <c r="AM126" s="1">
        <f t="shared" si="16"/>
        <v>19</v>
      </c>
      <c r="AN126" s="13">
        <f t="shared" si="31"/>
        <v>0.6333333333333333</v>
      </c>
      <c r="AO126" s="14">
        <f t="shared" si="32"/>
        <v>1</v>
      </c>
      <c r="AP126" s="1" t="s">
        <v>203</v>
      </c>
      <c r="AQ126" s="1" t="str">
        <f t="shared" ref="AQ126:AQ127" si="33">CONCATENATE(AU126," ",(MID(AS126,1,AT126-1)))</f>
        <v>MARIELLA TICLLA</v>
      </c>
      <c r="AR126" s="1">
        <f t="shared" si="18"/>
        <v>13</v>
      </c>
      <c r="AS126" s="1" t="str">
        <f t="shared" si="19"/>
        <v>TICLLA RAMOS</v>
      </c>
      <c r="AT126" s="1">
        <f t="shared" si="20"/>
        <v>7</v>
      </c>
      <c r="AU126" s="1" t="str">
        <f t="shared" si="21"/>
        <v>MARIELLA</v>
      </c>
      <c r="AV126" s="1" t="e">
        <f t="shared" si="22"/>
        <v>#VALUE!</v>
      </c>
    </row>
    <row r="127" spans="1:48">
      <c r="A127" s="3" t="s">
        <v>14</v>
      </c>
      <c r="B127" s="3" t="s">
        <v>15</v>
      </c>
      <c r="C127" s="3" t="s">
        <v>16</v>
      </c>
      <c r="D127" s="4">
        <v>1.5972222222222221E-2</v>
      </c>
      <c r="E127" s="4">
        <v>0</v>
      </c>
      <c r="F127" s="4">
        <v>6.2500000000000003E-3</v>
      </c>
      <c r="G127" s="4">
        <v>9.7222222222222224E-3</v>
      </c>
      <c r="H127" s="4">
        <v>5.5555555555555558E-3</v>
      </c>
      <c r="I127" s="4">
        <v>0</v>
      </c>
      <c r="J127" s="4">
        <v>1.3194444444444444E-2</v>
      </c>
      <c r="K127" s="4">
        <v>5.5555555555555558E-3</v>
      </c>
      <c r="L127" s="4">
        <v>0</v>
      </c>
      <c r="M127" s="4">
        <v>8.3333333333333332E-3</v>
      </c>
      <c r="N127" s="4">
        <v>1.1111111111111112E-2</v>
      </c>
      <c r="O127" s="4">
        <v>4.8611111111111112E-3</v>
      </c>
      <c r="P127" s="4">
        <v>1.6666666666666666E-2</v>
      </c>
      <c r="Q127" s="4">
        <v>0</v>
      </c>
      <c r="R127" s="4">
        <v>9.7222222222222224E-3</v>
      </c>
      <c r="S127" s="4">
        <v>0</v>
      </c>
      <c r="T127" s="4">
        <v>9.7222222222222224E-3</v>
      </c>
      <c r="U127" s="4">
        <v>1.5277777777777777E-2</v>
      </c>
      <c r="V127" s="4">
        <v>0</v>
      </c>
      <c r="W127" s="4">
        <v>2.0833333333333333E-3</v>
      </c>
      <c r="X127" s="4">
        <v>1.3194444444444444E-2</v>
      </c>
      <c r="Y127" s="4">
        <v>9.0277777777777769E-3</v>
      </c>
      <c r="Z127" s="4">
        <v>0</v>
      </c>
      <c r="AA127" s="4">
        <v>3.472222222222222E-3</v>
      </c>
      <c r="AB127" s="4">
        <v>0</v>
      </c>
      <c r="AC127" s="4">
        <v>1.8055555555555554E-2</v>
      </c>
      <c r="AD127" s="4">
        <v>1.3194444444444444E-2</v>
      </c>
      <c r="AE127" s="4">
        <v>3.472222222222222E-3</v>
      </c>
      <c r="AF127" s="4">
        <v>1.5277777777777777E-2</v>
      </c>
      <c r="AG127" s="4">
        <v>0</v>
      </c>
      <c r="AJ127" s="1">
        <v>5</v>
      </c>
      <c r="AK127" s="1">
        <f t="shared" si="30"/>
        <v>30</v>
      </c>
      <c r="AL127" s="10">
        <v>6.9444444444444441E-3</v>
      </c>
      <c r="AM127" s="1">
        <f t="shared" si="16"/>
        <v>14</v>
      </c>
      <c r="AN127" s="13">
        <f t="shared" si="31"/>
        <v>0.46666666666666667</v>
      </c>
      <c r="AO127" s="14">
        <f t="shared" si="32"/>
        <v>0</v>
      </c>
      <c r="AP127" s="1" t="s">
        <v>203</v>
      </c>
      <c r="AQ127" s="1" t="str">
        <f t="shared" si="33"/>
        <v>RICHARD PARIONA</v>
      </c>
      <c r="AR127" s="1">
        <f t="shared" si="18"/>
        <v>14</v>
      </c>
      <c r="AS127" s="1" t="str">
        <f t="shared" si="19"/>
        <v>PARIONA ROSAS</v>
      </c>
      <c r="AT127" s="1">
        <f t="shared" si="20"/>
        <v>8</v>
      </c>
      <c r="AU127" s="1" t="str">
        <f t="shared" si="21"/>
        <v>RICHARD</v>
      </c>
      <c r="AV127" s="1" t="e">
        <f t="shared" si="22"/>
        <v>#VALUE!</v>
      </c>
    </row>
    <row r="128" spans="1:48">
      <c r="A128" s="3" t="s">
        <v>17</v>
      </c>
      <c r="B128" s="3" t="s">
        <v>18</v>
      </c>
      <c r="C128" s="3" t="s">
        <v>19</v>
      </c>
      <c r="D128" s="4">
        <v>9.0277777777777769E-3</v>
      </c>
      <c r="E128" s="4">
        <v>0</v>
      </c>
      <c r="F128" s="4">
        <v>0</v>
      </c>
      <c r="G128" s="4">
        <v>6.2500000000000003E-3</v>
      </c>
      <c r="H128" s="4">
        <v>1.3194444444444444E-2</v>
      </c>
      <c r="I128" s="4">
        <v>0</v>
      </c>
      <c r="J128" s="4">
        <v>5.5555555555555558E-3</v>
      </c>
      <c r="K128" s="4">
        <v>2.7777777777777779E-3</v>
      </c>
      <c r="L128" s="4">
        <v>0</v>
      </c>
      <c r="M128" s="4">
        <v>0</v>
      </c>
      <c r="N128" s="4">
        <v>1.0416666666666666E-2</v>
      </c>
      <c r="O128" s="4">
        <v>0</v>
      </c>
      <c r="P128" s="4">
        <v>4.1666666666666666E-3</v>
      </c>
      <c r="Q128" s="4">
        <v>0</v>
      </c>
      <c r="R128" s="4">
        <v>6.9444444444444447E-4</v>
      </c>
      <c r="S128" s="4">
        <v>0</v>
      </c>
      <c r="T128" s="4">
        <v>5.5555555555555558E-3</v>
      </c>
      <c r="U128" s="4">
        <v>1.8055555555555554E-2</v>
      </c>
      <c r="V128" s="4">
        <v>0</v>
      </c>
      <c r="W128" s="4">
        <v>3.472222222222222E-3</v>
      </c>
      <c r="X128" s="4">
        <v>1.2500000000000001E-2</v>
      </c>
      <c r="Y128" s="4">
        <v>0</v>
      </c>
      <c r="Z128" s="4">
        <v>0</v>
      </c>
      <c r="AA128" s="4">
        <v>0</v>
      </c>
      <c r="AB128" s="4">
        <v>2.7777777777777779E-3</v>
      </c>
      <c r="AC128" s="4">
        <v>1.7361111111111112E-2</v>
      </c>
      <c r="AD128" s="4">
        <v>6.9444444444444441E-3</v>
      </c>
      <c r="AE128" s="4">
        <v>1.8749999999999999E-2</v>
      </c>
      <c r="AF128" s="4">
        <v>6.9444444444444447E-4</v>
      </c>
      <c r="AG128" s="4">
        <v>0</v>
      </c>
      <c r="AJ128" s="1">
        <v>5</v>
      </c>
      <c r="AK128" s="1">
        <f t="shared" si="30"/>
        <v>30</v>
      </c>
      <c r="AL128" s="10">
        <v>6.9444444444444441E-3</v>
      </c>
      <c r="AM128" s="1">
        <f t="shared" si="16"/>
        <v>7</v>
      </c>
      <c r="AN128" s="13">
        <f t="shared" si="31"/>
        <v>0.23333333333333334</v>
      </c>
      <c r="AO128" s="14">
        <f t="shared" si="32"/>
        <v>0</v>
      </c>
      <c r="AP128" s="1" t="s">
        <v>203</v>
      </c>
      <c r="AQ128" s="1" t="str">
        <f t="shared" si="23"/>
        <v>STEPHEN LLANOS</v>
      </c>
      <c r="AR128" s="1">
        <f t="shared" si="18"/>
        <v>16</v>
      </c>
      <c r="AS128" s="1" t="str">
        <f t="shared" si="19"/>
        <v>LLANOS ANTAURCO</v>
      </c>
      <c r="AT128" s="1">
        <f t="shared" si="20"/>
        <v>7</v>
      </c>
      <c r="AU128" s="1" t="str">
        <f t="shared" si="21"/>
        <v>STEPHEN BORIS</v>
      </c>
      <c r="AV128" s="1">
        <f t="shared" si="22"/>
        <v>8</v>
      </c>
    </row>
    <row r="129" spans="1:48">
      <c r="A129" s="3" t="s">
        <v>20</v>
      </c>
      <c r="B129" s="3" t="s">
        <v>21</v>
      </c>
      <c r="C129" s="3" t="s">
        <v>22</v>
      </c>
      <c r="D129" s="4">
        <v>0</v>
      </c>
      <c r="E129" s="4">
        <v>0</v>
      </c>
      <c r="F129" s="4">
        <v>1.0416666666666666E-2</v>
      </c>
      <c r="G129" s="4">
        <v>1.9444444444444445E-2</v>
      </c>
      <c r="H129" s="4">
        <v>6.9444444444444441E-3</v>
      </c>
      <c r="I129" s="4">
        <v>0</v>
      </c>
      <c r="J129" s="4">
        <v>4.1666666666666666E-3</v>
      </c>
      <c r="K129" s="4">
        <v>1.4583333333333334E-2</v>
      </c>
      <c r="L129" s="4">
        <v>0</v>
      </c>
      <c r="M129" s="4">
        <v>1.6666666666666666E-2</v>
      </c>
      <c r="N129" s="4">
        <v>1.5277777777777777E-2</v>
      </c>
      <c r="O129" s="4">
        <v>1.4583333333333334E-2</v>
      </c>
      <c r="P129" s="4">
        <v>1.2500000000000001E-2</v>
      </c>
      <c r="Q129" s="4">
        <v>6.2500000000000003E-3</v>
      </c>
      <c r="R129" s="4">
        <v>1.3194444444444444E-2</v>
      </c>
      <c r="S129" s="4">
        <v>0</v>
      </c>
      <c r="T129" s="4">
        <v>0</v>
      </c>
      <c r="U129" s="4">
        <v>6.2500000000000003E-3</v>
      </c>
      <c r="V129" s="4">
        <v>0</v>
      </c>
      <c r="W129" s="4">
        <v>1.4583333333333334E-2</v>
      </c>
      <c r="X129" s="4">
        <v>1.0416666666666666E-2</v>
      </c>
      <c r="Y129" s="4">
        <v>1.6666666666666666E-2</v>
      </c>
      <c r="Z129" s="4">
        <v>0</v>
      </c>
      <c r="AA129" s="4">
        <v>6.2500000000000003E-3</v>
      </c>
      <c r="AB129" s="4">
        <v>1.9444444444444445E-2</v>
      </c>
      <c r="AC129" s="4">
        <v>0</v>
      </c>
      <c r="AD129" s="4">
        <v>2.5000000000000001E-2</v>
      </c>
      <c r="AE129" s="4">
        <v>1.2500000000000001E-2</v>
      </c>
      <c r="AF129" s="4">
        <v>2.2916666666666665E-2</v>
      </c>
      <c r="AG129" s="4">
        <v>0</v>
      </c>
      <c r="AJ129" s="1">
        <v>5</v>
      </c>
      <c r="AK129" s="1">
        <f t="shared" si="30"/>
        <v>30</v>
      </c>
      <c r="AL129" s="10">
        <v>6.9444444444444441E-3</v>
      </c>
      <c r="AM129" s="1">
        <f t="shared" si="16"/>
        <v>15</v>
      </c>
      <c r="AN129" s="13">
        <f t="shared" si="31"/>
        <v>0.5</v>
      </c>
      <c r="AO129" s="14">
        <f t="shared" si="32"/>
        <v>0</v>
      </c>
      <c r="AP129" s="1" t="s">
        <v>203</v>
      </c>
      <c r="AQ129" s="1" t="str">
        <f t="shared" si="23"/>
        <v>LUZ CCAMA</v>
      </c>
      <c r="AR129" s="1">
        <f t="shared" si="18"/>
        <v>12</v>
      </c>
      <c r="AS129" s="1" t="str">
        <f t="shared" si="19"/>
        <v>CCAMA ARONI</v>
      </c>
      <c r="AT129" s="1">
        <f t="shared" si="20"/>
        <v>6</v>
      </c>
      <c r="AU129" s="1" t="str">
        <f t="shared" si="21"/>
        <v>LUZ MIRELLA</v>
      </c>
      <c r="AV129" s="1">
        <f t="shared" si="22"/>
        <v>4</v>
      </c>
    </row>
    <row r="130" spans="1:48">
      <c r="A130" s="3" t="s">
        <v>23</v>
      </c>
      <c r="B130" s="3" t="s">
        <v>24</v>
      </c>
      <c r="C130" s="3" t="s">
        <v>25</v>
      </c>
      <c r="D130" s="4">
        <v>8.3333333333333332E-3</v>
      </c>
      <c r="E130" s="4">
        <v>0</v>
      </c>
      <c r="F130" s="4">
        <v>8.3333333333333332E-3</v>
      </c>
      <c r="G130" s="4">
        <v>1.1111111111111112E-2</v>
      </c>
      <c r="H130" s="4">
        <v>1.2500000000000001E-2</v>
      </c>
      <c r="I130" s="4">
        <v>0</v>
      </c>
      <c r="J130" s="4">
        <v>1.2500000000000001E-2</v>
      </c>
      <c r="K130" s="4">
        <v>5.5555555555555558E-3</v>
      </c>
      <c r="L130" s="4">
        <v>0</v>
      </c>
      <c r="M130" s="4">
        <v>8.3333333333333332E-3</v>
      </c>
      <c r="N130" s="4">
        <v>7.6388888888888886E-3</v>
      </c>
      <c r="O130" s="4">
        <v>6.2500000000000003E-3</v>
      </c>
      <c r="P130" s="4">
        <v>1.3888888888888888E-2</v>
      </c>
      <c r="Q130" s="4">
        <v>7.6388888888888886E-3</v>
      </c>
      <c r="R130" s="4">
        <v>6.9444444444444441E-3</v>
      </c>
      <c r="S130" s="4">
        <v>0</v>
      </c>
      <c r="T130" s="4">
        <v>2.4305555555555556E-2</v>
      </c>
      <c r="U130" s="4">
        <v>1.1805555555555555E-2</v>
      </c>
      <c r="V130" s="4">
        <v>0</v>
      </c>
      <c r="W130" s="4">
        <v>1.3888888888888888E-2</v>
      </c>
      <c r="X130" s="4">
        <v>1.1111111111111112E-2</v>
      </c>
      <c r="Y130" s="4">
        <v>6.9444444444444447E-4</v>
      </c>
      <c r="Z130" s="4">
        <v>0</v>
      </c>
      <c r="AA130" s="4">
        <v>1.0416666666666666E-2</v>
      </c>
      <c r="AB130" s="4">
        <v>1.3888888888888888E-2</v>
      </c>
      <c r="AC130" s="4">
        <v>2.0833333333333332E-2</v>
      </c>
      <c r="AD130" s="4">
        <v>1.4583333333333334E-2</v>
      </c>
      <c r="AE130" s="4">
        <v>1.0416666666666666E-2</v>
      </c>
      <c r="AF130" s="4">
        <v>0</v>
      </c>
      <c r="AG130" s="4">
        <v>0</v>
      </c>
      <c r="AJ130" s="1">
        <v>5</v>
      </c>
      <c r="AK130" s="1">
        <f t="shared" si="30"/>
        <v>30</v>
      </c>
      <c r="AL130" s="10">
        <v>6.9444444444444441E-3</v>
      </c>
      <c r="AM130" s="1">
        <f t="shared" ref="AM130:AM193" si="34">COUNTIF(D130:AI130, "&gt;00:10")</f>
        <v>18</v>
      </c>
      <c r="AN130" s="13">
        <f t="shared" si="31"/>
        <v>0.6</v>
      </c>
      <c r="AO130" s="14">
        <f t="shared" si="32"/>
        <v>0</v>
      </c>
      <c r="AP130" s="1" t="s">
        <v>201</v>
      </c>
      <c r="AQ130" s="1" t="str">
        <f t="shared" si="23"/>
        <v>ANDREA CAYCHO</v>
      </c>
      <c r="AR130" s="1">
        <f t="shared" ref="AR130:AR193" si="35">SEARCH(",",B130)</f>
        <v>14</v>
      </c>
      <c r="AS130" s="1" t="str">
        <f t="shared" ref="AS130:AS193" si="36">MID(B130,1,AR130-1)</f>
        <v>CAYCHO HUANCA</v>
      </c>
      <c r="AT130" s="1">
        <f t="shared" si="20"/>
        <v>7</v>
      </c>
      <c r="AU130" s="1" t="str">
        <f t="shared" si="21"/>
        <v>ANDREA ALESSANDRA</v>
      </c>
      <c r="AV130" s="1">
        <f t="shared" si="22"/>
        <v>7</v>
      </c>
    </row>
    <row r="131" spans="1:48">
      <c r="A131" s="3" t="s">
        <v>26</v>
      </c>
      <c r="B131" s="3" t="s">
        <v>27</v>
      </c>
      <c r="C131" s="3" t="s">
        <v>28</v>
      </c>
      <c r="D131" s="4">
        <v>1.0416666666666666E-2</v>
      </c>
      <c r="E131" s="4">
        <v>0</v>
      </c>
      <c r="F131" s="4">
        <v>2.361111111111111E-2</v>
      </c>
      <c r="G131" s="4">
        <v>2.361111111111111E-2</v>
      </c>
      <c r="H131" s="4">
        <v>1.8055555555555554E-2</v>
      </c>
      <c r="I131" s="4">
        <v>0</v>
      </c>
      <c r="J131" s="4">
        <v>4.8611111111111112E-3</v>
      </c>
      <c r="K131" s="4">
        <v>9.0277777777777769E-3</v>
      </c>
      <c r="L131" s="4">
        <v>0</v>
      </c>
      <c r="M131" s="4">
        <v>9.0277777777777769E-3</v>
      </c>
      <c r="N131" s="4">
        <v>1.0416666666666666E-2</v>
      </c>
      <c r="O131" s="4">
        <v>6.9444444444444441E-3</v>
      </c>
      <c r="P131" s="3" t="s">
        <v>129</v>
      </c>
      <c r="Q131" s="4">
        <v>1.0416666666666666E-2</v>
      </c>
      <c r="R131" s="4">
        <v>1.5277777777777777E-2</v>
      </c>
      <c r="S131" s="4">
        <v>0</v>
      </c>
      <c r="T131" s="4">
        <v>9.7222222222222224E-3</v>
      </c>
      <c r="U131" s="4">
        <v>2.0833333333333332E-2</v>
      </c>
      <c r="V131" s="4">
        <v>0</v>
      </c>
      <c r="W131" s="4">
        <v>1.5972222222222221E-2</v>
      </c>
      <c r="X131" s="4">
        <v>1.7361111111111112E-2</v>
      </c>
      <c r="Y131" s="4">
        <v>1.3194444444444444E-2</v>
      </c>
      <c r="Z131" s="4">
        <v>0</v>
      </c>
      <c r="AA131" s="4">
        <v>1.4583333333333334E-2</v>
      </c>
      <c r="AB131" s="4">
        <v>1.8055555555555554E-2</v>
      </c>
      <c r="AC131" s="4">
        <v>1.8749999999999999E-2</v>
      </c>
      <c r="AD131" s="4">
        <v>2.013888888888889E-2</v>
      </c>
      <c r="AE131" s="4">
        <v>1.9444444444444445E-2</v>
      </c>
      <c r="AF131" s="4">
        <v>1.6666666666666666E-2</v>
      </c>
      <c r="AG131" s="4">
        <v>0</v>
      </c>
      <c r="AJ131" s="1">
        <v>5</v>
      </c>
      <c r="AK131" s="1">
        <f t="shared" si="30"/>
        <v>30</v>
      </c>
      <c r="AL131" s="10">
        <v>6.9444444444444441E-3</v>
      </c>
      <c r="AM131" s="1">
        <f t="shared" si="34"/>
        <v>20</v>
      </c>
      <c r="AN131" s="13">
        <f t="shared" si="31"/>
        <v>0.66666666666666663</v>
      </c>
      <c r="AO131" s="14">
        <f t="shared" si="32"/>
        <v>0</v>
      </c>
      <c r="AP131" s="1" t="s">
        <v>201</v>
      </c>
      <c r="AQ131" s="1" t="str">
        <f t="shared" ref="AQ131:AQ194" si="37">CONCATENATE(MID(AU131,1,AV131-1)," ",(MID(AS131,1,AT131-1)))</f>
        <v>ANGELICA PRETELL</v>
      </c>
      <c r="AR131" s="1">
        <f t="shared" si="35"/>
        <v>16</v>
      </c>
      <c r="AS131" s="1" t="str">
        <f t="shared" si="36"/>
        <v>PRETELL PINTADO</v>
      </c>
      <c r="AT131" s="1">
        <f t="shared" ref="AT131:AT194" si="38">SEARCH(" ",AS131)</f>
        <v>8</v>
      </c>
      <c r="AU131" s="1" t="str">
        <f t="shared" ref="AU131:AU194" si="39">MID(B131,AR131+2,90)</f>
        <v>ANGELICA DIANA</v>
      </c>
      <c r="AV131" s="1">
        <f t="shared" ref="AV131:AV194" si="40">SEARCH(" ",AU131)</f>
        <v>9</v>
      </c>
    </row>
    <row r="132" spans="1:48">
      <c r="A132" s="3" t="s">
        <v>29</v>
      </c>
      <c r="B132" s="3" t="s">
        <v>30</v>
      </c>
      <c r="C132" s="3" t="s">
        <v>31</v>
      </c>
      <c r="D132" s="4">
        <v>0</v>
      </c>
      <c r="E132" s="4">
        <v>0</v>
      </c>
      <c r="F132" s="4">
        <v>5.5555555555555558E-3</v>
      </c>
      <c r="G132" s="4">
        <v>1.3888888888888889E-3</v>
      </c>
      <c r="H132" s="4">
        <v>2.7777777777777779E-3</v>
      </c>
      <c r="I132" s="4">
        <v>0</v>
      </c>
      <c r="J132" s="4">
        <v>9.7222222222222224E-3</v>
      </c>
      <c r="K132" s="4">
        <v>8.3333333333333332E-3</v>
      </c>
      <c r="L132" s="4">
        <v>0</v>
      </c>
      <c r="M132" s="4">
        <v>5.5555555555555558E-3</v>
      </c>
      <c r="N132" s="4">
        <v>0</v>
      </c>
      <c r="O132" s="4">
        <v>0</v>
      </c>
      <c r="P132" s="4">
        <v>0</v>
      </c>
      <c r="Q132" s="4">
        <v>0</v>
      </c>
      <c r="R132" s="4">
        <v>6.9444444444444447E-4</v>
      </c>
      <c r="S132" s="4">
        <v>0</v>
      </c>
      <c r="T132" s="4">
        <v>0</v>
      </c>
      <c r="U132" s="4">
        <v>1.0416666666666666E-2</v>
      </c>
      <c r="V132" s="4">
        <v>0</v>
      </c>
      <c r="W132" s="4">
        <v>2.0833333333333333E-3</v>
      </c>
      <c r="X132" s="4">
        <v>4.1666666666666666E-3</v>
      </c>
      <c r="Y132" s="4">
        <v>1.5277777777777777E-2</v>
      </c>
      <c r="Z132" s="4">
        <v>0</v>
      </c>
      <c r="AA132" s="4">
        <v>2.7777777777777779E-3</v>
      </c>
      <c r="AB132" s="4">
        <v>0</v>
      </c>
      <c r="AC132" s="4">
        <v>1.4583333333333334E-2</v>
      </c>
      <c r="AD132" s="4">
        <v>0</v>
      </c>
      <c r="AE132" s="4">
        <v>0</v>
      </c>
      <c r="AF132" s="4">
        <v>0</v>
      </c>
      <c r="AG132" s="4">
        <v>0</v>
      </c>
      <c r="AJ132" s="1">
        <v>5</v>
      </c>
      <c r="AK132" s="1">
        <f t="shared" si="30"/>
        <v>30</v>
      </c>
      <c r="AL132" s="10">
        <v>6.9444444444444441E-3</v>
      </c>
      <c r="AM132" s="1">
        <f t="shared" si="34"/>
        <v>5</v>
      </c>
      <c r="AN132" s="13">
        <f t="shared" si="31"/>
        <v>0.16666666666666666</v>
      </c>
      <c r="AO132" s="14">
        <f t="shared" si="32"/>
        <v>0</v>
      </c>
      <c r="AP132" s="1" t="s">
        <v>203</v>
      </c>
      <c r="AQ132" s="1" t="str">
        <f t="shared" si="37"/>
        <v>CARLOS LOPEZ</v>
      </c>
      <c r="AR132" s="1">
        <f t="shared" si="35"/>
        <v>13</v>
      </c>
      <c r="AS132" s="1" t="str">
        <f t="shared" si="36"/>
        <v>LOPEZ FARIAS</v>
      </c>
      <c r="AT132" s="1">
        <f t="shared" si="38"/>
        <v>6</v>
      </c>
      <c r="AU132" s="1" t="str">
        <f t="shared" si="39"/>
        <v>CARLOS JOAQUIN</v>
      </c>
      <c r="AV132" s="1">
        <f t="shared" si="40"/>
        <v>7</v>
      </c>
    </row>
    <row r="133" spans="1:48">
      <c r="A133" s="3" t="s">
        <v>130</v>
      </c>
      <c r="B133" s="3" t="s">
        <v>131</v>
      </c>
      <c r="C133" s="3" t="s">
        <v>132</v>
      </c>
      <c r="D133" s="4">
        <v>1.0416666666666666E-2</v>
      </c>
      <c r="E133" s="4">
        <v>0</v>
      </c>
      <c r="F133" s="4">
        <v>1.4583333333333334E-2</v>
      </c>
      <c r="G133" s="4">
        <v>1.6666666666666666E-2</v>
      </c>
      <c r="H133" s="4">
        <v>3.1944444444444442E-2</v>
      </c>
      <c r="I133" s="4">
        <v>0</v>
      </c>
      <c r="J133" s="4">
        <v>4.8611111111111112E-3</v>
      </c>
      <c r="K133" s="4">
        <v>0</v>
      </c>
      <c r="L133" s="4">
        <v>0</v>
      </c>
      <c r="M133" s="4">
        <v>2.0833333333333333E-3</v>
      </c>
      <c r="N133" s="4">
        <v>6.9444444444444447E-4</v>
      </c>
      <c r="O133" s="3" t="s">
        <v>49</v>
      </c>
      <c r="P133" s="4">
        <v>4.027777777777778E-2</v>
      </c>
      <c r="Q133" s="4">
        <v>1.8055555555555554E-2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J133" s="1">
        <v>5</v>
      </c>
      <c r="AK133" s="1">
        <f t="shared" ref="AK133:AK164" si="41">COUNTA(D133:AI133)</f>
        <v>30</v>
      </c>
      <c r="AL133" s="10">
        <v>6.9444444444444441E-3</v>
      </c>
      <c r="AM133" s="1">
        <f t="shared" si="34"/>
        <v>6</v>
      </c>
      <c r="AN133" s="13">
        <f t="shared" ref="AN133:AN164" si="42">+AM133/AK133</f>
        <v>0.2</v>
      </c>
      <c r="AO133" s="14">
        <f t="shared" ref="AO133:AO164" si="43">COUNTIF(D133:AI133,"F")</f>
        <v>1</v>
      </c>
      <c r="AP133" s="1" t="str">
        <f>VLOOKUP(B133,Hoja3!$A$1:$B$14,2,0)</f>
        <v>CESADO</v>
      </c>
      <c r="AQ133" s="1" t="str">
        <f t="shared" si="37"/>
        <v>JEFFERSON LOPEZ</v>
      </c>
      <c r="AR133" s="1">
        <f t="shared" si="35"/>
        <v>11</v>
      </c>
      <c r="AS133" s="1" t="str">
        <f t="shared" si="36"/>
        <v>LOPEZ CRUZ</v>
      </c>
      <c r="AT133" s="1">
        <f t="shared" si="38"/>
        <v>6</v>
      </c>
      <c r="AU133" s="1" t="str">
        <f t="shared" si="39"/>
        <v>JEFFERSON NORMAN</v>
      </c>
      <c r="AV133" s="1">
        <f t="shared" si="40"/>
        <v>10</v>
      </c>
    </row>
    <row r="134" spans="1:48">
      <c r="A134" s="3" t="s">
        <v>32</v>
      </c>
      <c r="B134" s="3" t="s">
        <v>33</v>
      </c>
      <c r="C134" s="3" t="s">
        <v>34</v>
      </c>
      <c r="D134" s="4">
        <v>0</v>
      </c>
      <c r="E134" s="4">
        <v>0</v>
      </c>
      <c r="F134" s="4">
        <v>0</v>
      </c>
      <c r="G134" s="4">
        <v>2.0833333333333333E-3</v>
      </c>
      <c r="H134" s="4">
        <v>0</v>
      </c>
      <c r="I134" s="4">
        <v>0</v>
      </c>
      <c r="J134" s="4">
        <v>2.0833333333333333E-3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2.0833333333333333E-3</v>
      </c>
      <c r="U134" s="4">
        <v>2.7777777777777779E-3</v>
      </c>
      <c r="V134" s="4">
        <v>0</v>
      </c>
      <c r="W134" s="4">
        <v>9.0277777777777769E-3</v>
      </c>
      <c r="X134" s="4">
        <v>0</v>
      </c>
      <c r="Y134" s="4">
        <v>8.3333333333333332E-3</v>
      </c>
      <c r="Z134" s="4">
        <v>0</v>
      </c>
      <c r="AA134" s="4">
        <v>2.0833333333333333E-3</v>
      </c>
      <c r="AB134" s="4">
        <v>0</v>
      </c>
      <c r="AC134" s="4">
        <v>1.3194444444444444E-2</v>
      </c>
      <c r="AD134" s="4">
        <v>4.1666666666666666E-3</v>
      </c>
      <c r="AE134" s="4">
        <v>1.8055555555555554E-2</v>
      </c>
      <c r="AF134" s="4">
        <v>0</v>
      </c>
      <c r="AG134" s="4">
        <v>0</v>
      </c>
      <c r="AJ134" s="1">
        <v>5</v>
      </c>
      <c r="AK134" s="1">
        <f t="shared" si="41"/>
        <v>30</v>
      </c>
      <c r="AL134" s="10">
        <v>6.9444444444444441E-3</v>
      </c>
      <c r="AM134" s="1">
        <f t="shared" si="34"/>
        <v>4</v>
      </c>
      <c r="AN134" s="13">
        <f t="shared" si="42"/>
        <v>0.13333333333333333</v>
      </c>
      <c r="AO134" s="14">
        <f t="shared" si="43"/>
        <v>0</v>
      </c>
      <c r="AP134" s="1" t="s">
        <v>203</v>
      </c>
      <c r="AQ134" s="1" t="str">
        <f t="shared" si="37"/>
        <v>RONY CRUZ</v>
      </c>
      <c r="AR134" s="1">
        <f t="shared" si="35"/>
        <v>11</v>
      </c>
      <c r="AS134" s="1" t="str">
        <f t="shared" si="36"/>
        <v>CRUZ TAIPE</v>
      </c>
      <c r="AT134" s="1">
        <f t="shared" si="38"/>
        <v>5</v>
      </c>
      <c r="AU134" s="1" t="str">
        <f t="shared" si="39"/>
        <v>RONY WALDIR</v>
      </c>
      <c r="AV134" s="1">
        <f t="shared" si="40"/>
        <v>5</v>
      </c>
    </row>
    <row r="135" spans="1:48">
      <c r="A135" s="3" t="s">
        <v>36</v>
      </c>
      <c r="B135" s="3" t="s">
        <v>37</v>
      </c>
      <c r="C135" s="3" t="s">
        <v>38</v>
      </c>
      <c r="D135" s="4">
        <v>0</v>
      </c>
      <c r="E135" s="4">
        <v>0</v>
      </c>
      <c r="F135" s="4">
        <v>2.4305555555555556E-2</v>
      </c>
      <c r="G135" s="4">
        <v>0</v>
      </c>
      <c r="H135" s="4">
        <v>4.1666666666666666E-3</v>
      </c>
      <c r="I135" s="4">
        <v>0</v>
      </c>
      <c r="J135" s="4">
        <v>2.013888888888889E-2</v>
      </c>
      <c r="K135" s="4">
        <v>5.5555555555555558E-3</v>
      </c>
      <c r="L135" s="4">
        <v>0</v>
      </c>
      <c r="M135" s="4">
        <v>9.7222222222222224E-3</v>
      </c>
      <c r="N135" s="4">
        <v>0</v>
      </c>
      <c r="O135" s="4">
        <v>2.7777777777777779E-3</v>
      </c>
      <c r="P135" s="4">
        <v>1.3888888888888889E-3</v>
      </c>
      <c r="Q135" s="4">
        <v>0</v>
      </c>
      <c r="R135" s="4">
        <v>5.5555555555555558E-3</v>
      </c>
      <c r="S135" s="4">
        <v>0</v>
      </c>
      <c r="T135" s="4">
        <v>9.0277777777777769E-3</v>
      </c>
      <c r="U135" s="3" t="s">
        <v>49</v>
      </c>
      <c r="V135" s="4">
        <v>0</v>
      </c>
      <c r="W135" s="4">
        <v>0</v>
      </c>
      <c r="X135" s="4">
        <v>7.6388888888888886E-3</v>
      </c>
      <c r="Y135" s="4">
        <v>1.5277777777777777E-2</v>
      </c>
      <c r="Z135" s="4">
        <v>0</v>
      </c>
      <c r="AA135" s="3" t="s">
        <v>133</v>
      </c>
      <c r="AB135" s="4">
        <v>2.7777777777777779E-3</v>
      </c>
      <c r="AC135" s="4">
        <v>2.013888888888889E-2</v>
      </c>
      <c r="AD135" s="4">
        <v>4.1666666666666666E-3</v>
      </c>
      <c r="AE135" s="4">
        <v>7.6388888888888886E-3</v>
      </c>
      <c r="AF135" s="4">
        <v>1.1805555555555555E-2</v>
      </c>
      <c r="AG135" s="4">
        <v>0</v>
      </c>
      <c r="AJ135" s="1">
        <v>5</v>
      </c>
      <c r="AK135" s="1">
        <f t="shared" si="41"/>
        <v>30</v>
      </c>
      <c r="AL135" s="10">
        <v>6.9444444444444441E-3</v>
      </c>
      <c r="AM135" s="1">
        <f t="shared" si="34"/>
        <v>9</v>
      </c>
      <c r="AN135" s="13">
        <f t="shared" si="42"/>
        <v>0.3</v>
      </c>
      <c r="AO135" s="14">
        <f t="shared" si="43"/>
        <v>1</v>
      </c>
      <c r="AP135" s="1" t="s">
        <v>201</v>
      </c>
      <c r="AQ135" s="1" t="str">
        <f t="shared" si="37"/>
        <v>MARQUIÑO ANDRADE</v>
      </c>
      <c r="AR135" s="1">
        <f t="shared" si="35"/>
        <v>13</v>
      </c>
      <c r="AS135" s="1" t="str">
        <f t="shared" si="36"/>
        <v>ANDRADE MERA</v>
      </c>
      <c r="AT135" s="1">
        <f t="shared" si="38"/>
        <v>8</v>
      </c>
      <c r="AU135" s="1" t="str">
        <f t="shared" si="39"/>
        <v>MARQUIÑO ANTONY</v>
      </c>
      <c r="AV135" s="1">
        <f t="shared" si="40"/>
        <v>9</v>
      </c>
    </row>
    <row r="136" spans="1:48">
      <c r="A136" s="3" t="s">
        <v>134</v>
      </c>
      <c r="B136" s="3" t="s">
        <v>135</v>
      </c>
      <c r="C136" s="3" t="s">
        <v>136</v>
      </c>
      <c r="D136" s="4">
        <v>2.7777777777777776E-2</v>
      </c>
      <c r="E136" s="4">
        <v>0</v>
      </c>
      <c r="F136" s="4">
        <v>2.013888888888889E-2</v>
      </c>
      <c r="G136" s="4">
        <v>2.5694444444444443E-2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J136" s="1">
        <v>5</v>
      </c>
      <c r="AK136" s="1">
        <f t="shared" si="41"/>
        <v>30</v>
      </c>
      <c r="AL136" s="10">
        <v>6.9444444444444441E-3</v>
      </c>
      <c r="AM136" s="1">
        <f t="shared" si="34"/>
        <v>3</v>
      </c>
      <c r="AN136" s="13">
        <f t="shared" si="42"/>
        <v>0.1</v>
      </c>
      <c r="AO136" s="14">
        <f t="shared" si="43"/>
        <v>0</v>
      </c>
      <c r="AP136" s="1" t="str">
        <f>VLOOKUP(B136,Hoja3!$A$1:$B$14,2,0)</f>
        <v>CESADO</v>
      </c>
      <c r="AQ136" s="1" t="str">
        <f t="shared" si="37"/>
        <v>LITTA CLAROS</v>
      </c>
      <c r="AR136" s="1">
        <f t="shared" si="35"/>
        <v>13</v>
      </c>
      <c r="AS136" s="1" t="str">
        <f t="shared" si="36"/>
        <v>CLAROS NIETO</v>
      </c>
      <c r="AT136" s="1">
        <f t="shared" si="38"/>
        <v>7</v>
      </c>
      <c r="AU136" s="1" t="str">
        <f t="shared" si="39"/>
        <v>LITTA DANERY</v>
      </c>
      <c r="AV136" s="1">
        <f t="shared" si="40"/>
        <v>6</v>
      </c>
    </row>
    <row r="137" spans="1:48">
      <c r="A137" s="3" t="s">
        <v>39</v>
      </c>
      <c r="B137" s="3" t="s">
        <v>40</v>
      </c>
      <c r="C137" s="3" t="s">
        <v>41</v>
      </c>
      <c r="D137" s="4">
        <v>2.7777777777777779E-3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2.7777777777777779E-3</v>
      </c>
      <c r="N137" s="4">
        <v>2.7777777777777779E-3</v>
      </c>
      <c r="O137" s="4">
        <v>0</v>
      </c>
      <c r="P137" s="4">
        <v>0</v>
      </c>
      <c r="Q137" s="4">
        <v>0</v>
      </c>
      <c r="R137" s="4">
        <v>1.3888888888888889E-3</v>
      </c>
      <c r="S137" s="4">
        <v>0</v>
      </c>
      <c r="T137" s="4">
        <v>0</v>
      </c>
      <c r="U137" s="4">
        <v>4.8611111111111112E-3</v>
      </c>
      <c r="V137" s="4">
        <v>0</v>
      </c>
      <c r="W137" s="4">
        <v>0</v>
      </c>
      <c r="X137" s="4">
        <v>0</v>
      </c>
      <c r="Y137" s="4">
        <v>6.9444444444444447E-4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J137" s="1">
        <v>5</v>
      </c>
      <c r="AK137" s="1">
        <f t="shared" si="41"/>
        <v>30</v>
      </c>
      <c r="AL137" s="10">
        <v>6.9444444444444441E-3</v>
      </c>
      <c r="AM137" s="1">
        <f t="shared" si="34"/>
        <v>0</v>
      </c>
      <c r="AN137" s="13">
        <f t="shared" si="42"/>
        <v>0</v>
      </c>
      <c r="AO137" s="14">
        <f t="shared" si="43"/>
        <v>0</v>
      </c>
      <c r="AP137" s="1" t="s">
        <v>203</v>
      </c>
      <c r="AQ137" s="1" t="str">
        <f t="shared" si="37"/>
        <v>FRANCISCO MEJIA</v>
      </c>
      <c r="AR137" s="1">
        <f t="shared" si="35"/>
        <v>13</v>
      </c>
      <c r="AS137" s="1" t="str">
        <f t="shared" si="36"/>
        <v>MEJIA TORRES</v>
      </c>
      <c r="AT137" s="1">
        <f t="shared" si="38"/>
        <v>6</v>
      </c>
      <c r="AU137" s="1" t="str">
        <f t="shared" si="39"/>
        <v>FRANCISCO JAVIER</v>
      </c>
      <c r="AV137" s="1">
        <f t="shared" si="40"/>
        <v>10</v>
      </c>
    </row>
    <row r="138" spans="1:48">
      <c r="A138" s="3" t="s">
        <v>42</v>
      </c>
      <c r="B138" s="3" t="s">
        <v>43</v>
      </c>
      <c r="C138" s="3" t="s">
        <v>44</v>
      </c>
      <c r="D138" s="4">
        <v>0</v>
      </c>
      <c r="E138" s="4">
        <v>0</v>
      </c>
      <c r="F138" s="4">
        <v>0</v>
      </c>
      <c r="G138" s="4">
        <v>7.6388888888888886E-3</v>
      </c>
      <c r="H138" s="4">
        <v>1.3888888888888888E-2</v>
      </c>
      <c r="I138" s="4">
        <v>0</v>
      </c>
      <c r="J138" s="4">
        <v>2.7777777777777779E-3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1.3888888888888889E-3</v>
      </c>
      <c r="S138" s="4">
        <v>0</v>
      </c>
      <c r="T138" s="4">
        <v>6.9444444444444447E-4</v>
      </c>
      <c r="U138" s="4">
        <v>4.8611111111111112E-3</v>
      </c>
      <c r="V138" s="4">
        <v>0</v>
      </c>
      <c r="W138" s="4">
        <v>0</v>
      </c>
      <c r="X138" s="4">
        <v>0</v>
      </c>
      <c r="Y138" s="4">
        <v>6.9444444444444447E-4</v>
      </c>
      <c r="Z138" s="4">
        <v>0</v>
      </c>
      <c r="AA138" s="4">
        <v>1.3194444444444444E-2</v>
      </c>
      <c r="AB138" s="4">
        <v>5.5555555555555558E-3</v>
      </c>
      <c r="AC138" s="4">
        <v>1.6666666666666666E-2</v>
      </c>
      <c r="AD138" s="4">
        <v>0</v>
      </c>
      <c r="AE138" s="4">
        <v>0</v>
      </c>
      <c r="AF138" s="4">
        <v>0</v>
      </c>
      <c r="AG138" s="4">
        <v>0</v>
      </c>
      <c r="AJ138" s="1">
        <v>5</v>
      </c>
      <c r="AK138" s="1">
        <f t="shared" si="41"/>
        <v>30</v>
      </c>
      <c r="AL138" s="10">
        <v>6.9444444444444441E-3</v>
      </c>
      <c r="AM138" s="1">
        <f t="shared" si="34"/>
        <v>4</v>
      </c>
      <c r="AN138" s="13">
        <f t="shared" si="42"/>
        <v>0.13333333333333333</v>
      </c>
      <c r="AO138" s="14">
        <f t="shared" si="43"/>
        <v>0</v>
      </c>
      <c r="AP138" s="1" t="s">
        <v>203</v>
      </c>
      <c r="AQ138" s="1" t="str">
        <f t="shared" si="37"/>
        <v>CARLOS GUEVARA</v>
      </c>
      <c r="AR138" s="1">
        <f t="shared" si="35"/>
        <v>16</v>
      </c>
      <c r="AS138" s="1" t="str">
        <f t="shared" si="36"/>
        <v>GUEVARA CABELLO</v>
      </c>
      <c r="AT138" s="1">
        <f t="shared" si="38"/>
        <v>8</v>
      </c>
      <c r="AU138" s="1" t="str">
        <f t="shared" si="39"/>
        <v>CARLOS JEANPIERRE</v>
      </c>
      <c r="AV138" s="1">
        <f t="shared" si="40"/>
        <v>7</v>
      </c>
    </row>
    <row r="139" spans="1:48">
      <c r="A139" s="3" t="s">
        <v>54</v>
      </c>
      <c r="B139" s="3" t="s">
        <v>55</v>
      </c>
      <c r="C139" s="3" t="s">
        <v>56</v>
      </c>
      <c r="D139" s="4">
        <v>3.6111111111111108E-2</v>
      </c>
      <c r="E139" s="4">
        <v>0</v>
      </c>
      <c r="F139" s="4">
        <v>1.3888888888888888E-2</v>
      </c>
      <c r="G139" s="4">
        <v>0</v>
      </c>
      <c r="H139" s="4">
        <v>1.1111111111111112E-2</v>
      </c>
      <c r="I139" s="4">
        <v>0</v>
      </c>
      <c r="J139" s="4">
        <v>1.2500000000000001E-2</v>
      </c>
      <c r="K139" s="4">
        <v>3.1944444444444442E-2</v>
      </c>
      <c r="L139" s="4">
        <v>0</v>
      </c>
      <c r="M139" s="4">
        <v>1.3194444444444444E-2</v>
      </c>
      <c r="N139" s="4">
        <v>6.2500000000000003E-3</v>
      </c>
      <c r="O139" s="4">
        <v>2.013888888888889E-2</v>
      </c>
      <c r="P139" s="4">
        <v>0</v>
      </c>
      <c r="Q139" s="4">
        <v>2.5000000000000001E-2</v>
      </c>
      <c r="R139" s="4">
        <v>9.7222222222222224E-3</v>
      </c>
      <c r="S139" s="4">
        <v>0</v>
      </c>
      <c r="T139" s="4">
        <v>8.3333333333333332E-3</v>
      </c>
      <c r="U139" s="4">
        <v>2.2222222222222223E-2</v>
      </c>
      <c r="V139" s="4">
        <v>0</v>
      </c>
      <c r="W139" s="4">
        <v>3.1944444444444442E-2</v>
      </c>
      <c r="X139" s="4">
        <v>0</v>
      </c>
      <c r="Y139" s="4">
        <v>2.0833333333333333E-3</v>
      </c>
      <c r="Z139" s="4">
        <v>0</v>
      </c>
      <c r="AA139" s="4">
        <v>0</v>
      </c>
      <c r="AB139" s="4">
        <v>1.3194444444444444E-2</v>
      </c>
      <c r="AC139" s="4">
        <v>0</v>
      </c>
      <c r="AD139" s="4">
        <v>2.9166666666666667E-2</v>
      </c>
      <c r="AE139" s="4">
        <v>3.5416666666666666E-2</v>
      </c>
      <c r="AF139" s="4">
        <v>0</v>
      </c>
      <c r="AG139" s="4">
        <v>0</v>
      </c>
      <c r="AJ139" s="1">
        <v>5</v>
      </c>
      <c r="AK139" s="1">
        <f t="shared" si="41"/>
        <v>30</v>
      </c>
      <c r="AL139" s="10">
        <v>6.9444444444444441E-3</v>
      </c>
      <c r="AM139" s="1">
        <f t="shared" si="34"/>
        <v>15</v>
      </c>
      <c r="AN139" s="13">
        <f t="shared" si="42"/>
        <v>0.5</v>
      </c>
      <c r="AO139" s="14">
        <f t="shared" si="43"/>
        <v>0</v>
      </c>
      <c r="AP139" s="1" t="s">
        <v>203</v>
      </c>
      <c r="AQ139" s="1" t="str">
        <f t="shared" ref="AQ139:AQ140" si="44">CONCATENATE(AU139," ",(MID(AS139,1,AT139-1)))</f>
        <v>KIMBERLLY AMES</v>
      </c>
      <c r="AR139" s="1">
        <f t="shared" si="35"/>
        <v>14</v>
      </c>
      <c r="AS139" s="1" t="str">
        <f t="shared" si="36"/>
        <v>AMES ESPINOZA</v>
      </c>
      <c r="AT139" s="1">
        <f t="shared" si="38"/>
        <v>5</v>
      </c>
      <c r="AU139" s="1" t="str">
        <f t="shared" si="39"/>
        <v>KIMBERLLY</v>
      </c>
      <c r="AV139" s="1" t="e">
        <f t="shared" si="40"/>
        <v>#VALUE!</v>
      </c>
    </row>
    <row r="140" spans="1:48">
      <c r="A140" s="3" t="s">
        <v>58</v>
      </c>
      <c r="B140" s="3" t="s">
        <v>59</v>
      </c>
      <c r="C140" s="3" t="s">
        <v>60</v>
      </c>
      <c r="D140" s="4">
        <v>1.1111111111111112E-2</v>
      </c>
      <c r="E140" s="4">
        <v>0</v>
      </c>
      <c r="F140" s="4">
        <v>0</v>
      </c>
      <c r="G140" s="4">
        <v>1.7361111111111112E-2</v>
      </c>
      <c r="H140" s="4">
        <v>6.2500000000000003E-3</v>
      </c>
      <c r="I140" s="4">
        <v>0</v>
      </c>
      <c r="J140" s="4">
        <v>1.3194444444444444E-2</v>
      </c>
      <c r="K140" s="4">
        <v>1.1805555555555555E-2</v>
      </c>
      <c r="L140" s="4">
        <v>0</v>
      </c>
      <c r="M140" s="4">
        <v>1.3194444444444444E-2</v>
      </c>
      <c r="N140" s="4">
        <v>1.5972222222222221E-2</v>
      </c>
      <c r="O140" s="4">
        <v>0</v>
      </c>
      <c r="P140" s="4">
        <v>1.7361111111111112E-2</v>
      </c>
      <c r="Q140" s="4">
        <v>1.7361111111111112E-2</v>
      </c>
      <c r="R140" s="4">
        <v>9.0277777777777769E-3</v>
      </c>
      <c r="S140" s="4">
        <v>0</v>
      </c>
      <c r="T140" s="4">
        <v>2.013888888888889E-2</v>
      </c>
      <c r="U140" s="4">
        <v>0</v>
      </c>
      <c r="V140" s="4">
        <v>0</v>
      </c>
      <c r="W140" s="4">
        <v>2.5694444444444443E-2</v>
      </c>
      <c r="X140" s="4">
        <v>2.7083333333333334E-2</v>
      </c>
      <c r="Y140" s="4">
        <v>9.0277777777777769E-3</v>
      </c>
      <c r="Z140" s="4">
        <v>0</v>
      </c>
      <c r="AA140" s="4">
        <v>2.5694444444444443E-2</v>
      </c>
      <c r="AB140" s="4">
        <v>2.7777777777777776E-2</v>
      </c>
      <c r="AC140" s="4">
        <v>2.6388888888888889E-2</v>
      </c>
      <c r="AD140" s="4">
        <v>1.2500000000000001E-2</v>
      </c>
      <c r="AE140" s="4">
        <v>1.5277777777777777E-2</v>
      </c>
      <c r="AF140" s="4">
        <v>1.0416666666666666E-2</v>
      </c>
      <c r="AG140" s="4">
        <v>0</v>
      </c>
      <c r="AJ140" s="1">
        <v>5</v>
      </c>
      <c r="AK140" s="1">
        <f t="shared" si="41"/>
        <v>30</v>
      </c>
      <c r="AL140" s="10">
        <v>6.9444444444444441E-3</v>
      </c>
      <c r="AM140" s="1">
        <f t="shared" si="34"/>
        <v>19</v>
      </c>
      <c r="AN140" s="13">
        <f t="shared" si="42"/>
        <v>0.6333333333333333</v>
      </c>
      <c r="AO140" s="14">
        <f t="shared" si="43"/>
        <v>0</v>
      </c>
      <c r="AP140" s="1" t="s">
        <v>203</v>
      </c>
      <c r="AQ140" s="1" t="str">
        <f t="shared" si="44"/>
        <v>LILIANA ALVARADO</v>
      </c>
      <c r="AR140" s="1">
        <f t="shared" si="35"/>
        <v>16</v>
      </c>
      <c r="AS140" s="1" t="str">
        <f t="shared" si="36"/>
        <v>ALVARADO ECHAIZ</v>
      </c>
      <c r="AT140" s="1">
        <f t="shared" si="38"/>
        <v>9</v>
      </c>
      <c r="AU140" s="1" t="str">
        <f t="shared" si="39"/>
        <v>LILIANA</v>
      </c>
      <c r="AV140" s="1" t="e">
        <f t="shared" si="40"/>
        <v>#VALUE!</v>
      </c>
    </row>
    <row r="141" spans="1:48">
      <c r="A141" s="3" t="s">
        <v>61</v>
      </c>
      <c r="B141" s="3" t="s">
        <v>62</v>
      </c>
      <c r="C141" s="3" t="s">
        <v>63</v>
      </c>
      <c r="D141" s="4">
        <v>0</v>
      </c>
      <c r="E141" s="4">
        <v>0</v>
      </c>
      <c r="F141" s="4">
        <v>0</v>
      </c>
      <c r="G141" s="4">
        <v>6.9444444444444447E-4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1.3888888888888889E-3</v>
      </c>
      <c r="N141" s="4">
        <v>8.3333333333333332E-3</v>
      </c>
      <c r="O141" s="4">
        <v>4.1666666666666666E-3</v>
      </c>
      <c r="P141" s="4">
        <v>2.0833333333333333E-3</v>
      </c>
      <c r="Q141" s="4">
        <v>6.9444444444444447E-4</v>
      </c>
      <c r="R141" s="4">
        <v>0</v>
      </c>
      <c r="S141" s="4">
        <v>0</v>
      </c>
      <c r="T141" s="4">
        <v>6.9444444444444447E-4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2.0833333333333333E-3</v>
      </c>
      <c r="AB141" s="4">
        <v>1.3888888888888889E-3</v>
      </c>
      <c r="AC141" s="4">
        <v>6.2500000000000003E-3</v>
      </c>
      <c r="AD141" s="4">
        <v>0</v>
      </c>
      <c r="AE141" s="4">
        <v>9.7222222222222224E-3</v>
      </c>
      <c r="AF141" s="4">
        <v>0</v>
      </c>
      <c r="AG141" s="4">
        <v>0</v>
      </c>
      <c r="AJ141" s="1">
        <v>5</v>
      </c>
      <c r="AK141" s="1">
        <f t="shared" si="41"/>
        <v>30</v>
      </c>
      <c r="AL141" s="10">
        <v>6.9444444444444441E-3</v>
      </c>
      <c r="AM141" s="1">
        <f t="shared" si="34"/>
        <v>2</v>
      </c>
      <c r="AN141" s="13">
        <f t="shared" si="42"/>
        <v>6.6666666666666666E-2</v>
      </c>
      <c r="AO141" s="14">
        <f t="shared" si="43"/>
        <v>0</v>
      </c>
      <c r="AP141" s="1" t="s">
        <v>203</v>
      </c>
      <c r="AQ141" s="1" t="str">
        <f t="shared" si="37"/>
        <v>MANUEL MERMA</v>
      </c>
      <c r="AR141" s="1">
        <f t="shared" si="35"/>
        <v>12</v>
      </c>
      <c r="AS141" s="1" t="str">
        <f t="shared" si="36"/>
        <v>MERMA CHILA</v>
      </c>
      <c r="AT141" s="1">
        <f t="shared" si="38"/>
        <v>6</v>
      </c>
      <c r="AU141" s="1" t="str">
        <f t="shared" si="39"/>
        <v>MANUEL ENRIQUE</v>
      </c>
      <c r="AV141" s="1">
        <f t="shared" si="40"/>
        <v>7</v>
      </c>
    </row>
    <row r="142" spans="1:48">
      <c r="A142" s="3" t="s">
        <v>64</v>
      </c>
      <c r="B142" s="3" t="s">
        <v>65</v>
      </c>
      <c r="C142" s="3" t="s">
        <v>66</v>
      </c>
      <c r="D142" s="4">
        <v>2.2222222222222223E-2</v>
      </c>
      <c r="E142" s="4">
        <v>0</v>
      </c>
      <c r="F142" s="4">
        <v>1.3888888888888889E-3</v>
      </c>
      <c r="G142" s="4">
        <v>0</v>
      </c>
      <c r="H142" s="4">
        <v>1.1805555555555555E-2</v>
      </c>
      <c r="I142" s="4">
        <v>0</v>
      </c>
      <c r="J142" s="4">
        <v>0</v>
      </c>
      <c r="K142" s="4">
        <v>3.4027777777777775E-2</v>
      </c>
      <c r="L142" s="4">
        <v>0</v>
      </c>
      <c r="M142" s="4">
        <v>4.0972222222222222E-2</v>
      </c>
      <c r="N142" s="4">
        <v>1.1111111111111112E-2</v>
      </c>
      <c r="O142" s="4">
        <v>0</v>
      </c>
      <c r="P142" s="4">
        <v>1.1111111111111112E-2</v>
      </c>
      <c r="Q142" s="4">
        <v>0</v>
      </c>
      <c r="R142" s="4">
        <v>0</v>
      </c>
      <c r="S142" s="4">
        <v>0</v>
      </c>
      <c r="T142" s="4">
        <v>3.472222222222222E-3</v>
      </c>
      <c r="U142" s="4">
        <v>0</v>
      </c>
      <c r="V142" s="4">
        <v>0</v>
      </c>
      <c r="W142" s="4">
        <v>0</v>
      </c>
      <c r="X142" s="4">
        <v>4.8611111111111112E-3</v>
      </c>
      <c r="Y142" s="4">
        <v>3.3333333333333333E-2</v>
      </c>
      <c r="Z142" s="4">
        <v>0</v>
      </c>
      <c r="AA142" s="4">
        <v>0</v>
      </c>
      <c r="AB142" s="4">
        <v>3.4722222222222224E-2</v>
      </c>
      <c r="AC142" s="4">
        <v>0</v>
      </c>
      <c r="AD142" s="4">
        <v>8.3333333333333332E-3</v>
      </c>
      <c r="AE142" s="4">
        <v>6.9444444444444447E-4</v>
      </c>
      <c r="AF142" s="4">
        <v>2.013888888888889E-2</v>
      </c>
      <c r="AG142" s="4">
        <v>0</v>
      </c>
      <c r="AJ142" s="1">
        <v>5</v>
      </c>
      <c r="AK142" s="1">
        <f t="shared" si="41"/>
        <v>30</v>
      </c>
      <c r="AL142" s="10">
        <v>6.9444444444444441E-3</v>
      </c>
      <c r="AM142" s="1">
        <f t="shared" si="34"/>
        <v>10</v>
      </c>
      <c r="AN142" s="13">
        <f t="shared" si="42"/>
        <v>0.33333333333333331</v>
      </c>
      <c r="AO142" s="14">
        <f t="shared" si="43"/>
        <v>0</v>
      </c>
      <c r="AP142" s="1" t="s">
        <v>203</v>
      </c>
      <c r="AQ142" s="1" t="str">
        <f t="shared" si="37"/>
        <v>GRECIA SANCHEZ</v>
      </c>
      <c r="AR142" s="1">
        <f t="shared" si="35"/>
        <v>16</v>
      </c>
      <c r="AS142" s="1" t="str">
        <f t="shared" si="36"/>
        <v>SANCHEZ PANAIFO</v>
      </c>
      <c r="AT142" s="1">
        <f t="shared" si="38"/>
        <v>8</v>
      </c>
      <c r="AU142" s="1" t="str">
        <f t="shared" si="39"/>
        <v>GRECIA DANNAE</v>
      </c>
      <c r="AV142" s="1">
        <f t="shared" si="40"/>
        <v>7</v>
      </c>
    </row>
    <row r="143" spans="1:48">
      <c r="A143" s="3" t="s">
        <v>68</v>
      </c>
      <c r="B143" s="3" t="s">
        <v>69</v>
      </c>
      <c r="C143" s="3" t="s">
        <v>70</v>
      </c>
      <c r="D143" s="4">
        <v>1.3888888888888888E-2</v>
      </c>
      <c r="E143" s="4">
        <v>0</v>
      </c>
      <c r="F143" s="4">
        <v>0</v>
      </c>
      <c r="G143" s="4">
        <v>8.3333333333333332E-3</v>
      </c>
      <c r="H143" s="4">
        <v>6.9444444444444447E-4</v>
      </c>
      <c r="I143" s="4">
        <v>0</v>
      </c>
      <c r="J143" s="4">
        <v>4.1666666666666666E-3</v>
      </c>
      <c r="K143" s="4">
        <v>0</v>
      </c>
      <c r="L143" s="4">
        <v>0</v>
      </c>
      <c r="M143" s="4">
        <v>0</v>
      </c>
      <c r="N143" s="4">
        <v>6.9444444444444447E-4</v>
      </c>
      <c r="O143" s="4">
        <v>6.9444444444444447E-4</v>
      </c>
      <c r="P143" s="4">
        <v>3.472222222222222E-3</v>
      </c>
      <c r="Q143" s="4">
        <v>1.3888888888888889E-3</v>
      </c>
      <c r="R143" s="4">
        <v>4.8611111111111112E-3</v>
      </c>
      <c r="S143" s="4">
        <v>0</v>
      </c>
      <c r="T143" s="4">
        <v>0</v>
      </c>
      <c r="U143" s="4">
        <v>0</v>
      </c>
      <c r="V143" s="4">
        <v>0</v>
      </c>
      <c r="W143" s="3" t="s">
        <v>114</v>
      </c>
      <c r="X143" s="4">
        <v>0</v>
      </c>
      <c r="Y143" s="4">
        <v>0</v>
      </c>
      <c r="Z143" s="4">
        <v>0</v>
      </c>
      <c r="AA143" s="4">
        <v>4.8611111111111112E-3</v>
      </c>
      <c r="AB143" s="4">
        <v>8.3333333333333332E-3</v>
      </c>
      <c r="AC143" s="4">
        <v>2.0833333333333333E-3</v>
      </c>
      <c r="AD143" s="4">
        <v>2.7777777777777779E-3</v>
      </c>
      <c r="AE143" s="4">
        <v>9.7222222222222224E-3</v>
      </c>
      <c r="AF143" s="4">
        <v>5.5555555555555558E-3</v>
      </c>
      <c r="AG143" s="4">
        <v>0</v>
      </c>
      <c r="AJ143" s="1">
        <v>5</v>
      </c>
      <c r="AK143" s="1">
        <f t="shared" si="41"/>
        <v>30</v>
      </c>
      <c r="AL143" s="10">
        <v>6.9444444444444441E-3</v>
      </c>
      <c r="AM143" s="1">
        <f t="shared" si="34"/>
        <v>4</v>
      </c>
      <c r="AN143" s="13">
        <f t="shared" si="42"/>
        <v>0.13333333333333333</v>
      </c>
      <c r="AO143" s="14">
        <f t="shared" si="43"/>
        <v>0</v>
      </c>
      <c r="AP143" s="1" t="str">
        <f>VLOOKUP(B143,Hoja3!$A$1:$B$14,2,0)</f>
        <v>CESADO</v>
      </c>
      <c r="AQ143" s="1" t="str">
        <f t="shared" si="37"/>
        <v>DIANA CHAVEZ</v>
      </c>
      <c r="AR143" s="1">
        <f t="shared" si="35"/>
        <v>15</v>
      </c>
      <c r="AS143" s="1" t="str">
        <f t="shared" si="36"/>
        <v>CHAVEZ GUILLEN</v>
      </c>
      <c r="AT143" s="1">
        <f t="shared" si="38"/>
        <v>7</v>
      </c>
      <c r="AU143" s="1" t="str">
        <f t="shared" si="39"/>
        <v>DIANA CAROLINA</v>
      </c>
      <c r="AV143" s="1">
        <f t="shared" si="40"/>
        <v>6</v>
      </c>
    </row>
    <row r="144" spans="1:48">
      <c r="A144" s="3" t="s">
        <v>72</v>
      </c>
      <c r="B144" s="3" t="s">
        <v>73</v>
      </c>
      <c r="C144" s="3" t="s">
        <v>74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2.0833333333333333E-3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4.8611111111111112E-3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J144" s="1">
        <v>5</v>
      </c>
      <c r="AK144" s="1">
        <f t="shared" si="41"/>
        <v>30</v>
      </c>
      <c r="AL144" s="10">
        <v>6.9444444444444441E-3</v>
      </c>
      <c r="AM144" s="1">
        <f t="shared" si="34"/>
        <v>0</v>
      </c>
      <c r="AN144" s="13">
        <f t="shared" si="42"/>
        <v>0</v>
      </c>
      <c r="AO144" s="14">
        <f t="shared" si="43"/>
        <v>0</v>
      </c>
      <c r="AP144" s="1" t="s">
        <v>203</v>
      </c>
      <c r="AQ144" s="1" t="str">
        <f t="shared" si="37"/>
        <v>JONATHAN URDAY</v>
      </c>
      <c r="AR144" s="1">
        <f t="shared" si="35"/>
        <v>13</v>
      </c>
      <c r="AS144" s="1" t="str">
        <f t="shared" si="36"/>
        <v>URDAY CHOQUE</v>
      </c>
      <c r="AT144" s="1">
        <f t="shared" si="38"/>
        <v>6</v>
      </c>
      <c r="AU144" s="1" t="str">
        <f t="shared" si="39"/>
        <v>JONATHAN EDGARD</v>
      </c>
      <c r="AV144" s="1">
        <f t="shared" si="40"/>
        <v>9</v>
      </c>
    </row>
    <row r="145" spans="1:48">
      <c r="A145" s="3" t="s">
        <v>121</v>
      </c>
      <c r="B145" s="3" t="s">
        <v>122</v>
      </c>
      <c r="C145" s="3" t="s">
        <v>123</v>
      </c>
      <c r="D145" s="4">
        <v>0</v>
      </c>
      <c r="E145" s="4">
        <v>0</v>
      </c>
      <c r="F145" s="4">
        <v>0</v>
      </c>
      <c r="G145" s="3" t="s">
        <v>137</v>
      </c>
      <c r="H145" s="4">
        <v>6.9444444444444447E-4</v>
      </c>
      <c r="I145" s="4">
        <v>0</v>
      </c>
      <c r="J145" s="4">
        <v>4.1666666666666666E-3</v>
      </c>
      <c r="K145" s="4">
        <v>2.0833333333333333E-3</v>
      </c>
      <c r="L145" s="4">
        <v>0</v>
      </c>
      <c r="M145" s="4">
        <v>4.8611111111111112E-3</v>
      </c>
      <c r="N145" s="4">
        <v>1.3888888888888889E-3</v>
      </c>
      <c r="O145" s="4">
        <v>2.7777777777777779E-3</v>
      </c>
      <c r="P145" s="4">
        <v>1.3888888888888889E-3</v>
      </c>
      <c r="Q145" s="4">
        <v>1.3888888888888889E-3</v>
      </c>
      <c r="R145" s="4">
        <v>6.9444444444444447E-4</v>
      </c>
      <c r="S145" s="4">
        <v>0</v>
      </c>
      <c r="T145" s="4">
        <v>0</v>
      </c>
      <c r="U145" s="4">
        <v>1.3888888888888889E-3</v>
      </c>
      <c r="V145" s="4">
        <v>0</v>
      </c>
      <c r="W145" s="4">
        <v>1.3888888888888889E-3</v>
      </c>
      <c r="X145" s="4">
        <v>0</v>
      </c>
      <c r="Y145" s="4">
        <v>0</v>
      </c>
      <c r="Z145" s="4">
        <v>0</v>
      </c>
      <c r="AA145" s="4">
        <v>0</v>
      </c>
      <c r="AB145" s="4">
        <v>1.3888888888888889E-3</v>
      </c>
      <c r="AC145" s="4">
        <v>2.0833333333333333E-3</v>
      </c>
      <c r="AD145" s="4">
        <v>2.0833333333333333E-3</v>
      </c>
      <c r="AE145" s="4">
        <v>1.1805555555555555E-2</v>
      </c>
      <c r="AF145" s="4">
        <v>9.0277777777777769E-3</v>
      </c>
      <c r="AG145" s="4">
        <v>0</v>
      </c>
      <c r="AJ145" s="1">
        <v>5</v>
      </c>
      <c r="AK145" s="1">
        <f t="shared" si="41"/>
        <v>30</v>
      </c>
      <c r="AL145" s="10">
        <v>6.9444444444444441E-3</v>
      </c>
      <c r="AM145" s="1">
        <f t="shared" si="34"/>
        <v>2</v>
      </c>
      <c r="AN145" s="13">
        <f t="shared" si="42"/>
        <v>6.6666666666666666E-2</v>
      </c>
      <c r="AO145" s="14">
        <f t="shared" si="43"/>
        <v>0</v>
      </c>
      <c r="AP145" s="1" t="str">
        <f>VLOOKUP(B145,Hoja3!$A$1:$B$14,2,0)</f>
        <v>CESADO</v>
      </c>
      <c r="AQ145" s="1" t="str">
        <f t="shared" si="37"/>
        <v>MARLENE PEREZ</v>
      </c>
      <c r="AR145" s="1">
        <f t="shared" si="35"/>
        <v>11</v>
      </c>
      <c r="AS145" s="1" t="str">
        <f t="shared" si="36"/>
        <v>PEREZ VERA</v>
      </c>
      <c r="AT145" s="1">
        <f t="shared" si="38"/>
        <v>6</v>
      </c>
      <c r="AU145" s="1" t="str">
        <f t="shared" si="39"/>
        <v>MARLENE BETTY</v>
      </c>
      <c r="AV145" s="1">
        <f t="shared" si="40"/>
        <v>8</v>
      </c>
    </row>
    <row r="146" spans="1:48">
      <c r="A146" s="3" t="s">
        <v>76</v>
      </c>
      <c r="B146" s="3" t="s">
        <v>77</v>
      </c>
      <c r="C146" s="3" t="s">
        <v>78</v>
      </c>
      <c r="D146" s="3" t="s">
        <v>49</v>
      </c>
      <c r="E146" s="4">
        <v>0</v>
      </c>
      <c r="F146" s="3" t="s">
        <v>52</v>
      </c>
      <c r="G146" s="3" t="s">
        <v>128</v>
      </c>
      <c r="H146" s="4">
        <v>2.9166666666666667E-2</v>
      </c>
      <c r="I146" s="4">
        <v>0</v>
      </c>
      <c r="J146" s="3" t="s">
        <v>138</v>
      </c>
      <c r="K146" s="3" t="s">
        <v>139</v>
      </c>
      <c r="L146" s="4">
        <v>0</v>
      </c>
      <c r="M146" s="4">
        <v>9.0277777777777769E-3</v>
      </c>
      <c r="N146" s="4">
        <v>3.4722222222222224E-2</v>
      </c>
      <c r="O146" s="4">
        <v>2.0833333333333333E-3</v>
      </c>
      <c r="P146" s="4">
        <v>1.3888888888888889E-3</v>
      </c>
      <c r="Q146" s="4">
        <v>3.7499999999999999E-2</v>
      </c>
      <c r="R146" s="4">
        <v>6.9444444444444447E-4</v>
      </c>
      <c r="S146" s="4">
        <v>0</v>
      </c>
      <c r="T146" s="4">
        <v>3.8194444444444448E-2</v>
      </c>
      <c r="U146" s="3" t="s">
        <v>140</v>
      </c>
      <c r="V146" s="4">
        <v>0</v>
      </c>
      <c r="W146" s="4">
        <v>4.1666666666666666E-3</v>
      </c>
      <c r="X146" s="4">
        <v>3.472222222222222E-3</v>
      </c>
      <c r="Y146" s="4">
        <v>0</v>
      </c>
      <c r="Z146" s="4">
        <v>0</v>
      </c>
      <c r="AA146" s="3" t="s">
        <v>109</v>
      </c>
      <c r="AB146" s="3" t="s">
        <v>104</v>
      </c>
      <c r="AC146" s="4">
        <v>1.5277777777777777E-2</v>
      </c>
      <c r="AD146" s="3" t="s">
        <v>113</v>
      </c>
      <c r="AE146" s="4">
        <v>0</v>
      </c>
      <c r="AF146" s="4">
        <v>5.5555555555555558E-3</v>
      </c>
      <c r="AG146" s="4">
        <v>0</v>
      </c>
      <c r="AJ146" s="1">
        <v>5</v>
      </c>
      <c r="AK146" s="1">
        <f t="shared" si="41"/>
        <v>30</v>
      </c>
      <c r="AL146" s="10">
        <v>6.9444444444444441E-3</v>
      </c>
      <c r="AM146" s="1">
        <f t="shared" si="34"/>
        <v>6</v>
      </c>
      <c r="AN146" s="13">
        <f t="shared" si="42"/>
        <v>0.2</v>
      </c>
      <c r="AO146" s="14">
        <f t="shared" si="43"/>
        <v>1</v>
      </c>
      <c r="AP146" s="1" t="str">
        <f>VLOOKUP(B146,Hoja3!$A$1:$B$14,2,0)</f>
        <v>CESADO</v>
      </c>
      <c r="AQ146" s="1" t="str">
        <f t="shared" si="37"/>
        <v>YAEL ALARCON</v>
      </c>
      <c r="AR146" s="1">
        <f t="shared" si="35"/>
        <v>18</v>
      </c>
      <c r="AS146" s="1" t="str">
        <f t="shared" si="36"/>
        <v>ALARCON MONTALVAN</v>
      </c>
      <c r="AT146" s="1">
        <f t="shared" si="38"/>
        <v>8</v>
      </c>
      <c r="AU146" s="1" t="str">
        <f t="shared" si="39"/>
        <v>YAEL ASHLEY</v>
      </c>
      <c r="AV146" s="1">
        <f t="shared" si="40"/>
        <v>5</v>
      </c>
    </row>
    <row r="147" spans="1:48">
      <c r="A147" s="3" t="s">
        <v>81</v>
      </c>
      <c r="B147" s="3" t="s">
        <v>82</v>
      </c>
      <c r="C147" s="3" t="s">
        <v>83</v>
      </c>
      <c r="D147" s="4">
        <v>0</v>
      </c>
      <c r="E147" s="4">
        <v>0</v>
      </c>
      <c r="F147" s="4">
        <v>2.0833333333333333E-3</v>
      </c>
      <c r="G147" s="4">
        <v>1.0416666666666666E-2</v>
      </c>
      <c r="H147" s="4">
        <v>2.0833333333333332E-2</v>
      </c>
      <c r="I147" s="4">
        <v>0</v>
      </c>
      <c r="J147" s="4">
        <v>4.1666666666666666E-3</v>
      </c>
      <c r="K147" s="4">
        <v>2.7777777777777779E-3</v>
      </c>
      <c r="L147" s="4">
        <v>0</v>
      </c>
      <c r="M147" s="4">
        <v>1.3888888888888889E-3</v>
      </c>
      <c r="N147" s="4">
        <v>2.0833333333333333E-3</v>
      </c>
      <c r="O147" s="4">
        <v>1.3888888888888889E-3</v>
      </c>
      <c r="P147" s="3" t="s">
        <v>49</v>
      </c>
      <c r="Q147" s="3" t="s">
        <v>49</v>
      </c>
      <c r="R147" s="3" t="s">
        <v>49</v>
      </c>
      <c r="S147" s="4">
        <v>0</v>
      </c>
      <c r="T147" s="4">
        <v>0</v>
      </c>
      <c r="U147" s="3" t="s">
        <v>141</v>
      </c>
      <c r="V147" s="4">
        <v>0</v>
      </c>
      <c r="W147" s="4">
        <v>0</v>
      </c>
      <c r="X147" s="4">
        <v>4.8611111111111112E-3</v>
      </c>
      <c r="Y147" s="4">
        <v>1.8749999999999999E-2</v>
      </c>
      <c r="Z147" s="4">
        <v>0</v>
      </c>
      <c r="AA147" s="4">
        <v>1.8055555555555554E-2</v>
      </c>
      <c r="AB147" s="4">
        <v>5.5555555555555558E-3</v>
      </c>
      <c r="AC147" s="4">
        <v>1.4583333333333334E-2</v>
      </c>
      <c r="AD147" s="4">
        <v>1.5972222222222221E-2</v>
      </c>
      <c r="AE147" s="4">
        <v>0</v>
      </c>
      <c r="AF147" s="4">
        <v>4.8611111111111112E-3</v>
      </c>
      <c r="AG147" s="4">
        <v>0</v>
      </c>
      <c r="AJ147" s="1">
        <v>5</v>
      </c>
      <c r="AK147" s="1">
        <f t="shared" si="41"/>
        <v>30</v>
      </c>
      <c r="AL147" s="10">
        <v>6.9444444444444441E-3</v>
      </c>
      <c r="AM147" s="1">
        <f t="shared" si="34"/>
        <v>6</v>
      </c>
      <c r="AN147" s="13">
        <f t="shared" si="42"/>
        <v>0.2</v>
      </c>
      <c r="AO147" s="14">
        <f t="shared" si="43"/>
        <v>3</v>
      </c>
      <c r="AP147" s="1" t="s">
        <v>203</v>
      </c>
      <c r="AQ147" s="1" t="str">
        <f t="shared" si="37"/>
        <v>JORGE CORDOVA</v>
      </c>
      <c r="AR147" s="1">
        <f t="shared" si="35"/>
        <v>17</v>
      </c>
      <c r="AS147" s="1" t="str">
        <f t="shared" si="36"/>
        <v>CORDOVA ZEVALLOS</v>
      </c>
      <c r="AT147" s="1">
        <f t="shared" si="38"/>
        <v>8</v>
      </c>
      <c r="AU147" s="1" t="str">
        <f t="shared" si="39"/>
        <v>JORGE ENRIQUE</v>
      </c>
      <c r="AV147" s="1">
        <f t="shared" si="40"/>
        <v>6</v>
      </c>
    </row>
    <row r="148" spans="1:48">
      <c r="A148" s="3" t="s">
        <v>84</v>
      </c>
      <c r="B148" s="3" t="s">
        <v>85</v>
      </c>
      <c r="C148" s="3" t="s">
        <v>86</v>
      </c>
      <c r="D148" s="4">
        <v>3.472222222222222E-3</v>
      </c>
      <c r="E148" s="4">
        <v>0</v>
      </c>
      <c r="F148" s="4">
        <v>6.2500000000000003E-3</v>
      </c>
      <c r="G148" s="4">
        <v>4.1666666666666666E-3</v>
      </c>
      <c r="H148" s="4">
        <v>5.5555555555555558E-3</v>
      </c>
      <c r="I148" s="4">
        <v>0</v>
      </c>
      <c r="J148" s="4">
        <v>6.9444444444444447E-4</v>
      </c>
      <c r="K148" s="4">
        <v>5.5555555555555558E-3</v>
      </c>
      <c r="L148" s="4">
        <v>0</v>
      </c>
      <c r="M148" s="4">
        <v>4.1666666666666666E-3</v>
      </c>
      <c r="N148" s="4">
        <v>1.1111111111111112E-2</v>
      </c>
      <c r="O148" s="4">
        <v>2.361111111111111E-2</v>
      </c>
      <c r="P148" s="4">
        <v>4.1666666666666666E-3</v>
      </c>
      <c r="Q148" s="4">
        <v>0</v>
      </c>
      <c r="R148" s="4">
        <v>6.9444444444444441E-3</v>
      </c>
      <c r="S148" s="4">
        <v>0</v>
      </c>
      <c r="T148" s="4">
        <v>8.3333333333333332E-3</v>
      </c>
      <c r="U148" s="4">
        <v>9.7222222222222224E-3</v>
      </c>
      <c r="V148" s="4">
        <v>0</v>
      </c>
      <c r="W148" s="4">
        <v>3.472222222222222E-3</v>
      </c>
      <c r="X148" s="4">
        <v>6.2500000000000003E-3</v>
      </c>
      <c r="Y148" s="4">
        <v>5.5555555555555558E-3</v>
      </c>
      <c r="Z148" s="4">
        <v>0</v>
      </c>
      <c r="AA148" s="4">
        <v>2.7777777777777779E-3</v>
      </c>
      <c r="AB148" s="4">
        <v>7.6388888888888886E-3</v>
      </c>
      <c r="AC148" s="4">
        <v>1.5277777777777777E-2</v>
      </c>
      <c r="AD148" s="4">
        <v>6.2500000000000003E-3</v>
      </c>
      <c r="AE148" s="4">
        <v>2.0833333333333333E-3</v>
      </c>
      <c r="AF148" s="4">
        <v>0</v>
      </c>
      <c r="AG148" s="4">
        <v>0</v>
      </c>
      <c r="AJ148" s="1">
        <v>5</v>
      </c>
      <c r="AK148" s="1">
        <f t="shared" si="41"/>
        <v>30</v>
      </c>
      <c r="AL148" s="10">
        <v>6.9444444444444441E-3</v>
      </c>
      <c r="AM148" s="1">
        <f t="shared" si="34"/>
        <v>6</v>
      </c>
      <c r="AN148" s="13">
        <f t="shared" si="42"/>
        <v>0.2</v>
      </c>
      <c r="AO148" s="14">
        <f t="shared" si="43"/>
        <v>0</v>
      </c>
      <c r="AP148" s="1" t="s">
        <v>203</v>
      </c>
      <c r="AQ148" s="1" t="str">
        <f t="shared" si="37"/>
        <v>OSCAR PARIAPAZA</v>
      </c>
      <c r="AR148" s="1">
        <f t="shared" si="35"/>
        <v>21</v>
      </c>
      <c r="AS148" s="1" t="str">
        <f t="shared" si="36"/>
        <v>PARIAPAZA DE LA CRUZ</v>
      </c>
      <c r="AT148" s="1">
        <f t="shared" si="38"/>
        <v>10</v>
      </c>
      <c r="AU148" s="1" t="str">
        <f t="shared" si="39"/>
        <v>OSCAR ANTONIO</v>
      </c>
      <c r="AV148" s="1">
        <f t="shared" si="40"/>
        <v>6</v>
      </c>
    </row>
    <row r="149" spans="1:48">
      <c r="A149" s="3" t="s">
        <v>87</v>
      </c>
      <c r="B149" s="3" t="s">
        <v>88</v>
      </c>
      <c r="C149" s="3" t="s">
        <v>89</v>
      </c>
      <c r="D149" s="4">
        <v>2.7777777777777779E-3</v>
      </c>
      <c r="E149" s="4">
        <v>0</v>
      </c>
      <c r="F149" s="4">
        <v>0</v>
      </c>
      <c r="G149" s="4">
        <v>2.0833333333333333E-3</v>
      </c>
      <c r="H149" s="4">
        <v>2.0833333333333333E-3</v>
      </c>
      <c r="I149" s="4">
        <v>0</v>
      </c>
      <c r="J149" s="4">
        <v>0</v>
      </c>
      <c r="K149" s="4">
        <v>2.0833333333333333E-3</v>
      </c>
      <c r="L149" s="4">
        <v>0</v>
      </c>
      <c r="M149" s="4">
        <v>0</v>
      </c>
      <c r="N149" s="4">
        <v>0</v>
      </c>
      <c r="O149" s="4">
        <v>0</v>
      </c>
      <c r="P149" s="4">
        <v>2.0833333333333333E-3</v>
      </c>
      <c r="Q149" s="4">
        <v>0</v>
      </c>
      <c r="R149" s="4">
        <v>1.3888888888888889E-3</v>
      </c>
      <c r="S149" s="4">
        <v>0</v>
      </c>
      <c r="T149" s="4">
        <v>2.0833333333333333E-3</v>
      </c>
      <c r="U149" s="4">
        <v>1.0416666666666666E-2</v>
      </c>
      <c r="V149" s="4">
        <v>0</v>
      </c>
      <c r="W149" s="4">
        <v>2.0833333333333333E-3</v>
      </c>
      <c r="X149" s="4">
        <v>0</v>
      </c>
      <c r="Y149" s="4">
        <v>4.1666666666666666E-3</v>
      </c>
      <c r="Z149" s="4">
        <v>0</v>
      </c>
      <c r="AA149" s="4">
        <v>4.1666666666666666E-3</v>
      </c>
      <c r="AB149" s="4">
        <v>7.6388888888888886E-3</v>
      </c>
      <c r="AC149" s="4">
        <v>1.5277777777777777E-2</v>
      </c>
      <c r="AD149" s="4">
        <v>6.2500000000000003E-3</v>
      </c>
      <c r="AE149" s="4">
        <v>2.0833333333333333E-3</v>
      </c>
      <c r="AF149" s="4">
        <v>0</v>
      </c>
      <c r="AG149" s="4">
        <v>0</v>
      </c>
      <c r="AJ149" s="1">
        <v>5</v>
      </c>
      <c r="AK149" s="1">
        <f t="shared" si="41"/>
        <v>30</v>
      </c>
      <c r="AL149" s="10">
        <v>6.9444444444444441E-3</v>
      </c>
      <c r="AM149" s="1">
        <f t="shared" si="34"/>
        <v>3</v>
      </c>
      <c r="AN149" s="13">
        <f t="shared" si="42"/>
        <v>0.1</v>
      </c>
      <c r="AO149" s="14">
        <f t="shared" si="43"/>
        <v>0</v>
      </c>
      <c r="AP149" s="1" t="s">
        <v>203</v>
      </c>
      <c r="AQ149" s="1" t="str">
        <f t="shared" si="37"/>
        <v>ALEXANDER LUJAN</v>
      </c>
      <c r="AR149" s="1">
        <f t="shared" si="35"/>
        <v>17</v>
      </c>
      <c r="AS149" s="1" t="str">
        <f t="shared" si="36"/>
        <v>LUJAN VILCAÑAUPA</v>
      </c>
      <c r="AT149" s="1">
        <f t="shared" si="38"/>
        <v>6</v>
      </c>
      <c r="AU149" s="1" t="str">
        <f t="shared" si="39"/>
        <v>ALEXANDER MATIAS</v>
      </c>
      <c r="AV149" s="1">
        <f t="shared" si="40"/>
        <v>10</v>
      </c>
    </row>
    <row r="150" spans="1:48">
      <c r="A150" s="3" t="s">
        <v>90</v>
      </c>
      <c r="B150" s="3" t="s">
        <v>91</v>
      </c>
      <c r="C150" s="3" t="s">
        <v>92</v>
      </c>
      <c r="D150" s="4">
        <v>0</v>
      </c>
      <c r="E150" s="4">
        <v>0</v>
      </c>
      <c r="F150" s="4">
        <v>0</v>
      </c>
      <c r="G150" s="4">
        <v>2.0833333333333333E-3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6.9444444444444447E-4</v>
      </c>
      <c r="N150" s="4">
        <v>6.9444444444444447E-4</v>
      </c>
      <c r="O150" s="4">
        <v>0</v>
      </c>
      <c r="P150" s="4">
        <v>4.1666666666666666E-3</v>
      </c>
      <c r="Q150" s="4">
        <v>0</v>
      </c>
      <c r="R150" s="4">
        <v>5.5555555555555558E-3</v>
      </c>
      <c r="S150" s="4">
        <v>0</v>
      </c>
      <c r="T150" s="4">
        <v>3.472222222222222E-3</v>
      </c>
      <c r="U150" s="4">
        <v>0</v>
      </c>
      <c r="V150" s="4">
        <v>0</v>
      </c>
      <c r="W150" s="4">
        <v>0</v>
      </c>
      <c r="X150" s="4">
        <v>2.7777777777777779E-3</v>
      </c>
      <c r="Y150" s="4">
        <v>0</v>
      </c>
      <c r="Z150" s="4">
        <v>0</v>
      </c>
      <c r="AA150" s="4">
        <v>9.7222222222222224E-3</v>
      </c>
      <c r="AB150" s="4">
        <v>0</v>
      </c>
      <c r="AC150" s="4">
        <v>0</v>
      </c>
      <c r="AD150" s="4">
        <v>0</v>
      </c>
      <c r="AE150" s="4">
        <v>5.5555555555555558E-3</v>
      </c>
      <c r="AF150" s="4">
        <v>3.472222222222222E-3</v>
      </c>
      <c r="AG150" s="4">
        <v>0</v>
      </c>
      <c r="AJ150" s="1">
        <v>5</v>
      </c>
      <c r="AK150" s="1">
        <f t="shared" si="41"/>
        <v>30</v>
      </c>
      <c r="AL150" s="10">
        <v>6.9444444444444441E-3</v>
      </c>
      <c r="AM150" s="1">
        <f t="shared" si="34"/>
        <v>1</v>
      </c>
      <c r="AN150" s="13">
        <f t="shared" si="42"/>
        <v>3.3333333333333333E-2</v>
      </c>
      <c r="AO150" s="14">
        <f t="shared" si="43"/>
        <v>0</v>
      </c>
      <c r="AP150" s="1" t="s">
        <v>203</v>
      </c>
      <c r="AQ150" s="1" t="str">
        <f t="shared" si="37"/>
        <v>LEONEL LAURA</v>
      </c>
      <c r="AR150" s="1">
        <f t="shared" si="35"/>
        <v>12</v>
      </c>
      <c r="AS150" s="1" t="str">
        <f t="shared" si="36"/>
        <v>LAURA APAZA</v>
      </c>
      <c r="AT150" s="1">
        <f t="shared" si="38"/>
        <v>6</v>
      </c>
      <c r="AU150" s="1" t="str">
        <f t="shared" si="39"/>
        <v>LEONEL ALEX</v>
      </c>
      <c r="AV150" s="1">
        <f t="shared" si="40"/>
        <v>7</v>
      </c>
    </row>
    <row r="151" spans="1:48">
      <c r="A151" s="3" t="s">
        <v>93</v>
      </c>
      <c r="B151" s="3" t="s">
        <v>94</v>
      </c>
      <c r="C151" s="3" t="s">
        <v>95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1.3888888888888889E-3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6.9444444444444447E-4</v>
      </c>
      <c r="Z151" s="4">
        <v>0</v>
      </c>
      <c r="AA151" s="4">
        <v>0</v>
      </c>
      <c r="AB151" s="4">
        <v>0</v>
      </c>
      <c r="AC151" s="4">
        <v>1.5277777777777777E-2</v>
      </c>
      <c r="AD151" s="4">
        <v>0</v>
      </c>
      <c r="AE151" s="4">
        <v>0</v>
      </c>
      <c r="AF151" s="4">
        <v>0</v>
      </c>
      <c r="AG151" s="4">
        <v>0</v>
      </c>
      <c r="AJ151" s="1">
        <v>5</v>
      </c>
      <c r="AK151" s="1">
        <f t="shared" si="41"/>
        <v>30</v>
      </c>
      <c r="AL151" s="10">
        <v>6.9444444444444441E-3</v>
      </c>
      <c r="AM151" s="1">
        <f t="shared" si="34"/>
        <v>1</v>
      </c>
      <c r="AN151" s="13">
        <f t="shared" si="42"/>
        <v>3.3333333333333333E-2</v>
      </c>
      <c r="AO151" s="14">
        <f t="shared" si="43"/>
        <v>0</v>
      </c>
      <c r="AP151" s="1" t="s">
        <v>203</v>
      </c>
      <c r="AQ151" s="1" t="str">
        <f t="shared" si="37"/>
        <v>DARWIN LAURA</v>
      </c>
      <c r="AR151" s="1">
        <f t="shared" si="35"/>
        <v>14</v>
      </c>
      <c r="AS151" s="1" t="str">
        <f t="shared" si="36"/>
        <v>LAURA VICENTE</v>
      </c>
      <c r="AT151" s="1">
        <f t="shared" si="38"/>
        <v>6</v>
      </c>
      <c r="AU151" s="1" t="str">
        <f t="shared" si="39"/>
        <v>DARWIN FERNANDO</v>
      </c>
      <c r="AV151" s="1">
        <f t="shared" si="40"/>
        <v>7</v>
      </c>
    </row>
    <row r="152" spans="1:48">
      <c r="A152" s="3" t="s">
        <v>96</v>
      </c>
      <c r="B152" s="3" t="s">
        <v>97</v>
      </c>
      <c r="C152" s="3" t="s">
        <v>98</v>
      </c>
      <c r="D152" s="4">
        <v>0</v>
      </c>
      <c r="E152" s="4">
        <v>0</v>
      </c>
      <c r="F152" s="4">
        <v>0</v>
      </c>
      <c r="G152" s="4">
        <v>0</v>
      </c>
      <c r="H152" s="4">
        <v>6.9444444444444447E-4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1.3888888888888889E-3</v>
      </c>
      <c r="O152" s="4">
        <v>6.9444444444444447E-4</v>
      </c>
      <c r="P152" s="4">
        <v>7.6388888888888886E-3</v>
      </c>
      <c r="Q152" s="4">
        <v>0</v>
      </c>
      <c r="R152" s="4">
        <v>6.9444444444444447E-4</v>
      </c>
      <c r="S152" s="4">
        <v>0</v>
      </c>
      <c r="T152" s="4">
        <v>0</v>
      </c>
      <c r="U152" s="4">
        <v>2.7777777777777779E-3</v>
      </c>
      <c r="V152" s="4">
        <v>0</v>
      </c>
      <c r="W152" s="4">
        <v>0</v>
      </c>
      <c r="X152" s="4">
        <v>0</v>
      </c>
      <c r="Y152" s="4">
        <v>1.2500000000000001E-2</v>
      </c>
      <c r="Z152" s="4">
        <v>0</v>
      </c>
      <c r="AA152" s="4">
        <v>2.7777777777777779E-3</v>
      </c>
      <c r="AB152" s="4">
        <v>6.9444444444444447E-4</v>
      </c>
      <c r="AC152" s="4">
        <v>1.3888888888888889E-3</v>
      </c>
      <c r="AD152" s="4">
        <v>6.9444444444444447E-4</v>
      </c>
      <c r="AE152" s="4">
        <v>7.6388888888888886E-3</v>
      </c>
      <c r="AF152" s="4">
        <v>1.5277777777777777E-2</v>
      </c>
      <c r="AG152" s="4">
        <v>0</v>
      </c>
      <c r="AJ152" s="1">
        <v>5</v>
      </c>
      <c r="AK152" s="1">
        <f t="shared" si="41"/>
        <v>30</v>
      </c>
      <c r="AL152" s="10">
        <v>6.9444444444444441E-3</v>
      </c>
      <c r="AM152" s="1">
        <f t="shared" si="34"/>
        <v>4</v>
      </c>
      <c r="AN152" s="13">
        <f t="shared" si="42"/>
        <v>0.13333333333333333</v>
      </c>
      <c r="AO152" s="14">
        <f t="shared" si="43"/>
        <v>0</v>
      </c>
      <c r="AP152" s="1" t="s">
        <v>203</v>
      </c>
      <c r="AQ152" s="1" t="str">
        <f t="shared" si="37"/>
        <v>IMANOL HANCCO</v>
      </c>
      <c r="AR152" s="1">
        <f t="shared" si="35"/>
        <v>12</v>
      </c>
      <c r="AS152" s="1" t="str">
        <f t="shared" si="36"/>
        <v>HANCCO RIOS</v>
      </c>
      <c r="AT152" s="1">
        <f t="shared" si="38"/>
        <v>7</v>
      </c>
      <c r="AU152" s="1" t="str">
        <f t="shared" si="39"/>
        <v>IMANOL HARVI</v>
      </c>
      <c r="AV152" s="1">
        <f t="shared" si="40"/>
        <v>7</v>
      </c>
    </row>
    <row r="153" spans="1:48">
      <c r="A153" s="3" t="s">
        <v>99</v>
      </c>
      <c r="B153" s="3" t="s">
        <v>100</v>
      </c>
      <c r="C153" s="3" t="s">
        <v>101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1.3888888888888889E-3</v>
      </c>
      <c r="R153" s="4">
        <v>1.3888888888888889E-3</v>
      </c>
      <c r="S153" s="4">
        <v>0</v>
      </c>
      <c r="T153" s="4">
        <v>1.8055555555555554E-2</v>
      </c>
      <c r="U153" s="4">
        <v>6.9444444444444447E-4</v>
      </c>
      <c r="V153" s="4">
        <v>0</v>
      </c>
      <c r="W153" s="4">
        <v>1.5277777777777777E-2</v>
      </c>
      <c r="X153" s="4">
        <v>0</v>
      </c>
      <c r="Y153" s="4">
        <v>6.9444444444444447E-4</v>
      </c>
      <c r="Z153" s="4">
        <v>0</v>
      </c>
      <c r="AA153" s="4">
        <v>0</v>
      </c>
      <c r="AB153" s="4">
        <v>1.0416666666666666E-2</v>
      </c>
      <c r="AC153" s="4">
        <v>1.4583333333333334E-2</v>
      </c>
      <c r="AD153" s="4">
        <v>1.9444444444444445E-2</v>
      </c>
      <c r="AE153" s="4">
        <v>5.5555555555555558E-3</v>
      </c>
      <c r="AF153" s="4">
        <v>0</v>
      </c>
      <c r="AG153" s="4">
        <v>0</v>
      </c>
      <c r="AJ153" s="1">
        <v>5</v>
      </c>
      <c r="AK153" s="1">
        <f t="shared" si="41"/>
        <v>30</v>
      </c>
      <c r="AL153" s="10">
        <v>6.9444444444444441E-3</v>
      </c>
      <c r="AM153" s="1">
        <f t="shared" si="34"/>
        <v>5</v>
      </c>
      <c r="AN153" s="13">
        <f t="shared" si="42"/>
        <v>0.16666666666666666</v>
      </c>
      <c r="AO153" s="14">
        <f t="shared" si="43"/>
        <v>0</v>
      </c>
      <c r="AP153" s="1" t="s">
        <v>203</v>
      </c>
      <c r="AQ153" s="1" t="str">
        <f t="shared" si="37"/>
        <v>STEFANO BORDA</v>
      </c>
      <c r="AR153" s="1">
        <f t="shared" si="35"/>
        <v>13</v>
      </c>
      <c r="AS153" s="1" t="str">
        <f t="shared" si="36"/>
        <v>BORDA BURGOS</v>
      </c>
      <c r="AT153" s="1">
        <f t="shared" si="38"/>
        <v>6</v>
      </c>
      <c r="AU153" s="1" t="str">
        <f t="shared" si="39"/>
        <v>STEFANO PAOLO</v>
      </c>
      <c r="AV153" s="1">
        <f t="shared" si="40"/>
        <v>8</v>
      </c>
    </row>
    <row r="154" spans="1:48">
      <c r="A154" s="2" t="s">
        <v>3</v>
      </c>
      <c r="B154" s="2" t="s">
        <v>4</v>
      </c>
      <c r="C154" s="2" t="s">
        <v>5</v>
      </c>
      <c r="D154" s="5">
        <v>3.4027777777777775E-2</v>
      </c>
      <c r="E154" s="2" t="s">
        <v>103</v>
      </c>
      <c r="F154" s="5">
        <v>1.1111111111111112E-2</v>
      </c>
      <c r="G154" s="5">
        <v>3.0555555555555555E-2</v>
      </c>
      <c r="H154" s="5">
        <v>3.1944444444444442E-2</v>
      </c>
      <c r="I154" s="2" t="s">
        <v>103</v>
      </c>
      <c r="J154" s="5">
        <v>0</v>
      </c>
      <c r="K154" s="5">
        <v>2.8472222222222222E-2</v>
      </c>
      <c r="L154" s="5">
        <v>2.7777777777777776E-2</v>
      </c>
      <c r="M154" s="5">
        <v>2.4305555555555556E-2</v>
      </c>
      <c r="N154" s="5">
        <v>2.0833333333333332E-2</v>
      </c>
      <c r="O154" s="5">
        <v>1.9444444444444445E-2</v>
      </c>
      <c r="P154" s="5">
        <v>0</v>
      </c>
      <c r="Q154" s="5">
        <v>0</v>
      </c>
      <c r="R154" s="2" t="s">
        <v>104</v>
      </c>
      <c r="S154" s="5">
        <v>3.0555555555555555E-2</v>
      </c>
      <c r="T154" s="5">
        <v>1.7361111111111112E-2</v>
      </c>
      <c r="U154" s="5">
        <v>2.0833333333333332E-2</v>
      </c>
      <c r="V154" s="5">
        <v>1.6666666666666666E-2</v>
      </c>
      <c r="W154" s="5">
        <v>1.1111111111111112E-2</v>
      </c>
      <c r="X154" s="5">
        <v>0</v>
      </c>
      <c r="Y154" s="5">
        <v>3.0555555555555555E-2</v>
      </c>
      <c r="Z154" s="5">
        <v>2.4305555555555556E-2</v>
      </c>
      <c r="AA154" s="5">
        <v>7.6388888888888886E-3</v>
      </c>
      <c r="AB154" s="5">
        <v>4.0972222222222222E-2</v>
      </c>
      <c r="AC154" s="5">
        <v>1.6666666666666666E-2</v>
      </c>
      <c r="AD154" s="5">
        <v>1.2500000000000001E-2</v>
      </c>
      <c r="AE154" s="5">
        <v>0</v>
      </c>
      <c r="AF154" s="5">
        <v>0</v>
      </c>
      <c r="AG154" s="5">
        <v>2.013888888888889E-2</v>
      </c>
      <c r="AH154" s="5">
        <v>1.4583333333333334E-2</v>
      </c>
      <c r="AI154" s="2"/>
      <c r="AJ154" s="1">
        <v>6</v>
      </c>
      <c r="AK154" s="1">
        <f t="shared" si="41"/>
        <v>31</v>
      </c>
      <c r="AL154" s="10">
        <v>6.9444444444444441E-3</v>
      </c>
      <c r="AM154" s="1">
        <f t="shared" si="34"/>
        <v>22</v>
      </c>
      <c r="AN154" s="13">
        <f t="shared" si="42"/>
        <v>0.70967741935483875</v>
      </c>
      <c r="AO154" s="14">
        <f t="shared" si="43"/>
        <v>0</v>
      </c>
      <c r="AP154" s="1" t="s">
        <v>203</v>
      </c>
      <c r="AQ154" s="1" t="str">
        <f t="shared" si="37"/>
        <v>ROCIO CACERES</v>
      </c>
      <c r="AR154" s="1">
        <f t="shared" si="35"/>
        <v>16</v>
      </c>
      <c r="AS154" s="1" t="str">
        <f t="shared" si="36"/>
        <v>CACERES CORDOVA</v>
      </c>
      <c r="AT154" s="1">
        <f t="shared" si="38"/>
        <v>8</v>
      </c>
      <c r="AU154" s="1" t="str">
        <f t="shared" si="39"/>
        <v>ROCIO SANDRA</v>
      </c>
      <c r="AV154" s="1">
        <f t="shared" si="40"/>
        <v>6</v>
      </c>
    </row>
    <row r="155" spans="1:48">
      <c r="A155" s="2" t="s">
        <v>8</v>
      </c>
      <c r="B155" s="2" t="s">
        <v>9</v>
      </c>
      <c r="C155" s="2" t="s">
        <v>10</v>
      </c>
      <c r="D155" s="5">
        <v>1.2500000000000001E-2</v>
      </c>
      <c r="E155" s="5">
        <v>1.6666666666666666E-2</v>
      </c>
      <c r="F155" s="5">
        <v>1.2500000000000001E-2</v>
      </c>
      <c r="G155" s="5">
        <v>2.7083333333333334E-2</v>
      </c>
      <c r="H155" s="5">
        <v>1.8749999999999999E-2</v>
      </c>
      <c r="I155" s="5">
        <v>3.472222222222222E-3</v>
      </c>
      <c r="J155" s="5">
        <v>0</v>
      </c>
      <c r="K155" s="5">
        <v>8.3333333333333332E-3</v>
      </c>
      <c r="L155" s="5">
        <v>1.7361111111111112E-2</v>
      </c>
      <c r="M155" s="5">
        <v>4.8611111111111112E-3</v>
      </c>
      <c r="N155" s="5">
        <v>3.7499999999999999E-2</v>
      </c>
      <c r="O155" s="5">
        <v>2.7083333333333334E-2</v>
      </c>
      <c r="P155" s="5">
        <v>0</v>
      </c>
      <c r="Q155" s="5">
        <v>0</v>
      </c>
      <c r="R155" s="5">
        <v>1.9444444444444445E-2</v>
      </c>
      <c r="S155" s="2" t="s">
        <v>105</v>
      </c>
      <c r="T155" s="5">
        <v>1.1805555555555555E-2</v>
      </c>
      <c r="U155" s="5">
        <v>2.5694444444444443E-2</v>
      </c>
      <c r="V155" s="5">
        <v>4.1666666666666666E-3</v>
      </c>
      <c r="W155" s="5">
        <v>0</v>
      </c>
      <c r="X155" s="5">
        <v>0</v>
      </c>
      <c r="Y155" s="5">
        <v>1.8749999999999999E-2</v>
      </c>
      <c r="Z155" s="5">
        <v>0</v>
      </c>
      <c r="AA155" s="2" t="s">
        <v>57</v>
      </c>
      <c r="AB155" s="2" t="s">
        <v>51</v>
      </c>
      <c r="AC155" s="5">
        <v>1.6666666666666666E-2</v>
      </c>
      <c r="AD155" s="5">
        <v>7.6388888888888886E-3</v>
      </c>
      <c r="AE155" s="5">
        <v>0</v>
      </c>
      <c r="AF155" s="5">
        <v>3.7499999999999999E-2</v>
      </c>
      <c r="AG155" s="5">
        <v>0</v>
      </c>
      <c r="AH155" s="5">
        <v>3.7499999999999999E-2</v>
      </c>
      <c r="AI155" s="2"/>
      <c r="AJ155" s="1">
        <v>6</v>
      </c>
      <c r="AK155" s="1">
        <f t="shared" si="41"/>
        <v>31</v>
      </c>
      <c r="AL155" s="10">
        <v>6.9444444444444441E-3</v>
      </c>
      <c r="AM155" s="1">
        <f t="shared" si="34"/>
        <v>17</v>
      </c>
      <c r="AN155" s="13">
        <f t="shared" si="42"/>
        <v>0.54838709677419351</v>
      </c>
      <c r="AO155" s="14">
        <f t="shared" si="43"/>
        <v>0</v>
      </c>
      <c r="AP155" s="1" t="s">
        <v>203</v>
      </c>
      <c r="AQ155" s="1" t="str">
        <f t="shared" si="37"/>
        <v>LOURDES LLANOS</v>
      </c>
      <c r="AR155" s="1">
        <f t="shared" si="35"/>
        <v>13</v>
      </c>
      <c r="AS155" s="1" t="str">
        <f t="shared" si="36"/>
        <v>LLANOS YAURI</v>
      </c>
      <c r="AT155" s="1">
        <f t="shared" si="38"/>
        <v>7</v>
      </c>
      <c r="AU155" s="1" t="str">
        <f t="shared" si="39"/>
        <v>LOURDES LUCIA</v>
      </c>
      <c r="AV155" s="1">
        <f t="shared" si="40"/>
        <v>8</v>
      </c>
    </row>
    <row r="156" spans="1:48">
      <c r="A156" s="2" t="s">
        <v>11</v>
      </c>
      <c r="B156" s="2" t="s">
        <v>12</v>
      </c>
      <c r="C156" s="2" t="s">
        <v>13</v>
      </c>
      <c r="D156" s="5">
        <v>3.4722222222222224E-2</v>
      </c>
      <c r="E156" s="5">
        <v>2.361111111111111E-2</v>
      </c>
      <c r="F156" s="5">
        <v>1.3194444444444444E-2</v>
      </c>
      <c r="G156" s="5">
        <v>1.5277777777777777E-2</v>
      </c>
      <c r="H156" s="5">
        <v>1.9444444444444445E-2</v>
      </c>
      <c r="I156" s="5">
        <v>0</v>
      </c>
      <c r="J156" s="5">
        <v>0</v>
      </c>
      <c r="K156" s="5">
        <v>1.8055555555555554E-2</v>
      </c>
      <c r="L156" s="5">
        <v>2.0833333333333332E-2</v>
      </c>
      <c r="M156" s="5">
        <v>1.6666666666666666E-2</v>
      </c>
      <c r="N156" s="5">
        <v>4.8611111111111112E-3</v>
      </c>
      <c r="O156" s="5">
        <v>1.1111111111111112E-2</v>
      </c>
      <c r="P156" s="5">
        <v>0</v>
      </c>
      <c r="Q156" s="5">
        <v>0</v>
      </c>
      <c r="R156" s="5">
        <v>1.9444444444444445E-2</v>
      </c>
      <c r="S156" s="5">
        <v>1.3194444444444444E-2</v>
      </c>
      <c r="T156" s="5">
        <v>1.5972222222222221E-2</v>
      </c>
      <c r="U156" s="5">
        <v>1.6666666666666666E-2</v>
      </c>
      <c r="V156" s="5">
        <v>1.7361111111111112E-2</v>
      </c>
      <c r="W156" s="5">
        <v>1.9444444444444445E-2</v>
      </c>
      <c r="X156" s="5">
        <v>0</v>
      </c>
      <c r="Y156" s="5">
        <v>2.7777777777777776E-2</v>
      </c>
      <c r="Z156" s="5">
        <v>3.125E-2</v>
      </c>
      <c r="AA156" s="5">
        <v>2.8472222222222222E-2</v>
      </c>
      <c r="AB156" s="5">
        <v>1.8749999999999999E-2</v>
      </c>
      <c r="AC156" s="5">
        <v>1.8749999999999999E-2</v>
      </c>
      <c r="AD156" s="5">
        <v>5.5555555555555558E-3</v>
      </c>
      <c r="AE156" s="5">
        <v>0</v>
      </c>
      <c r="AF156" s="5">
        <v>2.6388888888888889E-2</v>
      </c>
      <c r="AG156" s="5">
        <v>4.1666666666666666E-3</v>
      </c>
      <c r="AH156" s="5">
        <v>2.7777777777777779E-3</v>
      </c>
      <c r="AI156" s="2"/>
      <c r="AJ156" s="1">
        <v>6</v>
      </c>
      <c r="AK156" s="1">
        <f t="shared" si="41"/>
        <v>31</v>
      </c>
      <c r="AL156" s="10">
        <v>6.9444444444444441E-3</v>
      </c>
      <c r="AM156" s="1">
        <f t="shared" si="34"/>
        <v>21</v>
      </c>
      <c r="AN156" s="13">
        <f t="shared" si="42"/>
        <v>0.67741935483870963</v>
      </c>
      <c r="AO156" s="14">
        <f t="shared" si="43"/>
        <v>0</v>
      </c>
      <c r="AP156" s="1" t="s">
        <v>203</v>
      </c>
      <c r="AQ156" s="1" t="str">
        <f t="shared" ref="AQ156:AQ157" si="45">CONCATENATE(AU156," ",(MID(AS156,1,AT156-1)))</f>
        <v>MARIELLA TICLLA</v>
      </c>
      <c r="AR156" s="1">
        <f t="shared" si="35"/>
        <v>13</v>
      </c>
      <c r="AS156" s="1" t="str">
        <f t="shared" si="36"/>
        <v>TICLLA RAMOS</v>
      </c>
      <c r="AT156" s="1">
        <f t="shared" si="38"/>
        <v>7</v>
      </c>
      <c r="AU156" s="1" t="str">
        <f t="shared" si="39"/>
        <v>MARIELLA</v>
      </c>
      <c r="AV156" s="1" t="e">
        <f t="shared" si="40"/>
        <v>#VALUE!</v>
      </c>
    </row>
    <row r="157" spans="1:48">
      <c r="A157" s="2" t="s">
        <v>14</v>
      </c>
      <c r="B157" s="2" t="s">
        <v>15</v>
      </c>
      <c r="C157" s="2" t="s">
        <v>16</v>
      </c>
      <c r="D157" s="5">
        <v>2.2916666666666665E-2</v>
      </c>
      <c r="E157" s="5">
        <v>3.0555555555555555E-2</v>
      </c>
      <c r="F157" s="5">
        <v>1.5972222222222221E-2</v>
      </c>
      <c r="G157" s="5">
        <v>1.3888888888888888E-2</v>
      </c>
      <c r="H157" s="5">
        <v>2.361111111111111E-2</v>
      </c>
      <c r="I157" s="5">
        <v>7.6388888888888886E-3</v>
      </c>
      <c r="J157" s="5">
        <v>0</v>
      </c>
      <c r="K157" s="5">
        <v>1.2500000000000001E-2</v>
      </c>
      <c r="L157" s="5">
        <v>2.1527777777777778E-2</v>
      </c>
      <c r="M157" s="5">
        <v>1.0416666666666666E-2</v>
      </c>
      <c r="N157" s="5">
        <v>1.6666666666666666E-2</v>
      </c>
      <c r="O157" s="5">
        <v>1.1805555555555555E-2</v>
      </c>
      <c r="P157" s="5">
        <v>0</v>
      </c>
      <c r="Q157" s="5">
        <v>0</v>
      </c>
      <c r="R157" s="5">
        <v>9.7222222222222224E-3</v>
      </c>
      <c r="S157" s="5">
        <v>5.5555555555555558E-3</v>
      </c>
      <c r="T157" s="5">
        <v>2.5000000000000001E-2</v>
      </c>
      <c r="U157" s="5">
        <v>1.1805555555555555E-2</v>
      </c>
      <c r="V157" s="5">
        <v>1.4583333333333334E-2</v>
      </c>
      <c r="W157" s="5">
        <v>7.6388888888888886E-3</v>
      </c>
      <c r="X157" s="5">
        <v>0</v>
      </c>
      <c r="Y157" s="5">
        <v>1.1111111111111112E-2</v>
      </c>
      <c r="Z157" s="5">
        <v>1.4583333333333334E-2</v>
      </c>
      <c r="AA157" s="5">
        <v>1.3194444444444444E-2</v>
      </c>
      <c r="AB157" s="5">
        <v>1.2500000000000001E-2</v>
      </c>
      <c r="AC157" s="5">
        <v>9.7222222222222224E-3</v>
      </c>
      <c r="AD157" s="5">
        <v>9.7222222222222224E-3</v>
      </c>
      <c r="AE157" s="5">
        <v>0</v>
      </c>
      <c r="AF157" s="5">
        <v>1.2500000000000001E-2</v>
      </c>
      <c r="AG157" s="5">
        <v>2.0833333333333332E-2</v>
      </c>
      <c r="AH157" s="5">
        <v>0</v>
      </c>
      <c r="AI157" s="2"/>
      <c r="AJ157" s="1">
        <v>6</v>
      </c>
      <c r="AK157" s="1">
        <f t="shared" si="41"/>
        <v>31</v>
      </c>
      <c r="AL157" s="10">
        <v>6.9444444444444441E-3</v>
      </c>
      <c r="AM157" s="1">
        <f t="shared" si="34"/>
        <v>24</v>
      </c>
      <c r="AN157" s="13">
        <f t="shared" si="42"/>
        <v>0.77419354838709675</v>
      </c>
      <c r="AO157" s="14">
        <f t="shared" si="43"/>
        <v>0</v>
      </c>
      <c r="AP157" s="1" t="s">
        <v>203</v>
      </c>
      <c r="AQ157" s="1" t="str">
        <f t="shared" si="45"/>
        <v>RICHARD PARIONA</v>
      </c>
      <c r="AR157" s="1">
        <f t="shared" si="35"/>
        <v>14</v>
      </c>
      <c r="AS157" s="1" t="str">
        <f t="shared" si="36"/>
        <v>PARIONA ROSAS</v>
      </c>
      <c r="AT157" s="1">
        <f t="shared" si="38"/>
        <v>8</v>
      </c>
      <c r="AU157" s="1" t="str">
        <f t="shared" si="39"/>
        <v>RICHARD</v>
      </c>
      <c r="AV157" s="1" t="e">
        <f t="shared" si="40"/>
        <v>#VALUE!</v>
      </c>
    </row>
    <row r="158" spans="1:48">
      <c r="A158" s="2" t="s">
        <v>17</v>
      </c>
      <c r="B158" s="2" t="s">
        <v>18</v>
      </c>
      <c r="C158" s="2" t="s">
        <v>19</v>
      </c>
      <c r="D158" s="5">
        <v>0</v>
      </c>
      <c r="E158" s="5">
        <v>0</v>
      </c>
      <c r="F158" s="5">
        <v>1.3888888888888888E-2</v>
      </c>
      <c r="G158" s="5">
        <v>6.9444444444444441E-3</v>
      </c>
      <c r="H158" s="5">
        <v>9.7222222222222224E-3</v>
      </c>
      <c r="I158" s="5">
        <v>3.472222222222222E-3</v>
      </c>
      <c r="J158" s="5">
        <v>0</v>
      </c>
      <c r="K158" s="5">
        <v>3.472222222222222E-3</v>
      </c>
      <c r="L158" s="5">
        <v>1.6666666666666666E-2</v>
      </c>
      <c r="M158" s="5">
        <v>8.3333333333333332E-3</v>
      </c>
      <c r="N158" s="5">
        <v>0</v>
      </c>
      <c r="O158" s="5">
        <v>8.3333333333333332E-3</v>
      </c>
      <c r="P158" s="5">
        <v>0</v>
      </c>
      <c r="Q158" s="5">
        <v>0</v>
      </c>
      <c r="R158" s="5">
        <v>0</v>
      </c>
      <c r="S158" s="5">
        <v>1.3888888888888888E-2</v>
      </c>
      <c r="T158" s="5">
        <v>1.3194444444444444E-2</v>
      </c>
      <c r="U158" s="5">
        <v>8.3333333333333332E-3</v>
      </c>
      <c r="V158" s="5">
        <v>2.7777777777777779E-3</v>
      </c>
      <c r="W158" s="5">
        <v>4.8611111111111112E-3</v>
      </c>
      <c r="X158" s="5">
        <v>0</v>
      </c>
      <c r="Y158" s="5">
        <v>1.3888888888888889E-3</v>
      </c>
      <c r="Z158" s="5">
        <v>6.9444444444444441E-3</v>
      </c>
      <c r="AA158" s="5">
        <v>8.3333333333333332E-3</v>
      </c>
      <c r="AB158" s="5">
        <v>1.3194444444444444E-2</v>
      </c>
      <c r="AC158" s="5">
        <v>0</v>
      </c>
      <c r="AD158" s="5">
        <v>6.2500000000000003E-3</v>
      </c>
      <c r="AE158" s="5">
        <v>0</v>
      </c>
      <c r="AF158" s="5">
        <v>7.6388888888888886E-3</v>
      </c>
      <c r="AG158" s="5">
        <v>2.7777777777777779E-3</v>
      </c>
      <c r="AH158" s="5">
        <v>0</v>
      </c>
      <c r="AI158" s="2"/>
      <c r="AJ158" s="1">
        <v>6</v>
      </c>
      <c r="AK158" s="1">
        <f t="shared" si="41"/>
        <v>31</v>
      </c>
      <c r="AL158" s="10">
        <v>6.9444444444444441E-3</v>
      </c>
      <c r="AM158" s="1">
        <f t="shared" si="34"/>
        <v>11</v>
      </c>
      <c r="AN158" s="13">
        <f t="shared" si="42"/>
        <v>0.35483870967741937</v>
      </c>
      <c r="AO158" s="14">
        <f t="shared" si="43"/>
        <v>0</v>
      </c>
      <c r="AP158" s="1" t="s">
        <v>203</v>
      </c>
      <c r="AQ158" s="1" t="str">
        <f t="shared" si="37"/>
        <v>STEPHEN LLANOS</v>
      </c>
      <c r="AR158" s="1">
        <f t="shared" si="35"/>
        <v>16</v>
      </c>
      <c r="AS158" s="1" t="str">
        <f t="shared" si="36"/>
        <v>LLANOS ANTAURCO</v>
      </c>
      <c r="AT158" s="1">
        <f t="shared" si="38"/>
        <v>7</v>
      </c>
      <c r="AU158" s="1" t="str">
        <f t="shared" si="39"/>
        <v>STEPHEN BORIS</v>
      </c>
      <c r="AV158" s="1">
        <f t="shared" si="40"/>
        <v>8</v>
      </c>
    </row>
    <row r="159" spans="1:48">
      <c r="A159" s="2" t="s">
        <v>20</v>
      </c>
      <c r="B159" s="2" t="s">
        <v>21</v>
      </c>
      <c r="C159" s="2" t="s">
        <v>22</v>
      </c>
      <c r="D159" s="5">
        <v>1.6666666666666666E-2</v>
      </c>
      <c r="E159" s="5">
        <v>9.0277777777777769E-3</v>
      </c>
      <c r="F159" s="5">
        <v>9.0277777777777769E-3</v>
      </c>
      <c r="G159" s="5">
        <v>2.7083333333333334E-2</v>
      </c>
      <c r="H159" s="5">
        <v>0</v>
      </c>
      <c r="I159" s="5">
        <v>1.1805555555555555E-2</v>
      </c>
      <c r="J159" s="5">
        <v>0</v>
      </c>
      <c r="K159" s="5">
        <v>1.4583333333333334E-2</v>
      </c>
      <c r="L159" s="5">
        <v>1.3194444444444444E-2</v>
      </c>
      <c r="M159" s="5">
        <v>1.9444444444444445E-2</v>
      </c>
      <c r="N159" s="5">
        <v>1.7361111111111112E-2</v>
      </c>
      <c r="O159" s="5">
        <v>1.4583333333333334E-2</v>
      </c>
      <c r="P159" s="5">
        <v>0</v>
      </c>
      <c r="Q159" s="5">
        <v>0</v>
      </c>
      <c r="R159" s="5">
        <v>0</v>
      </c>
      <c r="S159" s="5">
        <v>4.1666666666666666E-3</v>
      </c>
      <c r="T159" s="5">
        <v>1.4583333333333334E-2</v>
      </c>
      <c r="U159" s="5">
        <v>8.3333333333333332E-3</v>
      </c>
      <c r="V159" s="5">
        <v>1.8749999999999999E-2</v>
      </c>
      <c r="W159" s="5">
        <v>1.8749999999999999E-2</v>
      </c>
      <c r="X159" s="5">
        <v>0</v>
      </c>
      <c r="Y159" s="5">
        <v>1.5277777777777777E-2</v>
      </c>
      <c r="Z159" s="5">
        <v>1.1805555555555555E-2</v>
      </c>
      <c r="AA159" s="5">
        <v>2.361111111111111E-2</v>
      </c>
      <c r="AB159" s="5">
        <v>2.361111111111111E-2</v>
      </c>
      <c r="AC159" s="5">
        <v>1.0416666666666666E-2</v>
      </c>
      <c r="AD159" s="5">
        <v>1.2500000000000001E-2</v>
      </c>
      <c r="AE159" s="5">
        <v>0</v>
      </c>
      <c r="AF159" s="5">
        <v>4.1666666666666666E-3</v>
      </c>
      <c r="AG159" s="5">
        <v>2.5000000000000001E-2</v>
      </c>
      <c r="AH159" s="5">
        <v>8.3333333333333332E-3</v>
      </c>
      <c r="AI159" s="2"/>
      <c r="AJ159" s="1">
        <v>6</v>
      </c>
      <c r="AK159" s="1">
        <f t="shared" si="41"/>
        <v>31</v>
      </c>
      <c r="AL159" s="10">
        <v>6.9444444444444441E-3</v>
      </c>
      <c r="AM159" s="1">
        <f t="shared" si="34"/>
        <v>22</v>
      </c>
      <c r="AN159" s="13">
        <f t="shared" si="42"/>
        <v>0.70967741935483875</v>
      </c>
      <c r="AO159" s="14">
        <f t="shared" si="43"/>
        <v>0</v>
      </c>
      <c r="AP159" s="1" t="s">
        <v>203</v>
      </c>
      <c r="AQ159" s="1" t="str">
        <f t="shared" si="37"/>
        <v>LUZ CCAMA</v>
      </c>
      <c r="AR159" s="1">
        <f t="shared" si="35"/>
        <v>12</v>
      </c>
      <c r="AS159" s="1" t="str">
        <f t="shared" si="36"/>
        <v>CCAMA ARONI</v>
      </c>
      <c r="AT159" s="1">
        <f t="shared" si="38"/>
        <v>6</v>
      </c>
      <c r="AU159" s="1" t="str">
        <f t="shared" si="39"/>
        <v>LUZ MIRELLA</v>
      </c>
      <c r="AV159" s="1">
        <f t="shared" si="40"/>
        <v>4</v>
      </c>
    </row>
    <row r="160" spans="1:48">
      <c r="A160" s="2" t="s">
        <v>23</v>
      </c>
      <c r="B160" s="2" t="s">
        <v>24</v>
      </c>
      <c r="C160" s="2" t="s">
        <v>25</v>
      </c>
      <c r="D160" s="5">
        <v>1.4583333333333334E-2</v>
      </c>
      <c r="E160" s="5">
        <v>1.8749999999999999E-2</v>
      </c>
      <c r="F160" s="5">
        <v>1.3888888888888888E-2</v>
      </c>
      <c r="G160" s="5">
        <v>1.2500000000000001E-2</v>
      </c>
      <c r="H160" s="5">
        <v>1.4583333333333334E-2</v>
      </c>
      <c r="I160" s="5">
        <v>1.4583333333333334E-2</v>
      </c>
      <c r="J160" s="5">
        <v>0</v>
      </c>
      <c r="K160" s="5">
        <v>1.2500000000000001E-2</v>
      </c>
      <c r="L160" s="5">
        <v>2.2222222222222223E-2</v>
      </c>
      <c r="M160" s="5">
        <v>2.0833333333333332E-2</v>
      </c>
      <c r="N160" s="5">
        <v>1.7361111111111112E-2</v>
      </c>
      <c r="O160" s="5">
        <v>1.1805555555555555E-2</v>
      </c>
      <c r="P160" s="5">
        <v>0</v>
      </c>
      <c r="Q160" s="5">
        <v>0</v>
      </c>
      <c r="R160" s="5">
        <v>2.9861111111111113E-2</v>
      </c>
      <c r="S160" s="2" t="s">
        <v>49</v>
      </c>
      <c r="T160" s="5">
        <v>1.0416666666666666E-2</v>
      </c>
      <c r="U160" s="5">
        <v>1.0416666666666666E-2</v>
      </c>
      <c r="V160" s="5">
        <v>8.3333333333333332E-3</v>
      </c>
      <c r="W160" s="5">
        <v>1.9444444444444445E-2</v>
      </c>
      <c r="X160" s="5">
        <v>0</v>
      </c>
      <c r="Y160" s="5">
        <v>1.3888888888888888E-2</v>
      </c>
      <c r="Z160" s="5">
        <v>1.4583333333333334E-2</v>
      </c>
      <c r="AA160" s="5">
        <v>1.7361111111111112E-2</v>
      </c>
      <c r="AB160" s="5">
        <v>1.2500000000000001E-2</v>
      </c>
      <c r="AC160" s="5">
        <v>1.8749999999999999E-2</v>
      </c>
      <c r="AD160" s="5">
        <v>2.013888888888889E-2</v>
      </c>
      <c r="AE160" s="5">
        <v>0</v>
      </c>
      <c r="AF160" s="5">
        <v>1.3888888888888888E-2</v>
      </c>
      <c r="AG160" s="5">
        <v>1.4583333333333334E-2</v>
      </c>
      <c r="AH160" s="5">
        <v>1.6666666666666666E-2</v>
      </c>
      <c r="AI160" s="2"/>
      <c r="AJ160" s="1">
        <v>6</v>
      </c>
      <c r="AK160" s="1">
        <f t="shared" si="41"/>
        <v>31</v>
      </c>
      <c r="AL160" s="10">
        <v>6.9444444444444441E-3</v>
      </c>
      <c r="AM160" s="1">
        <f t="shared" si="34"/>
        <v>25</v>
      </c>
      <c r="AN160" s="13">
        <f t="shared" si="42"/>
        <v>0.80645161290322576</v>
      </c>
      <c r="AO160" s="14">
        <f t="shared" si="43"/>
        <v>1</v>
      </c>
      <c r="AP160" s="1" t="s">
        <v>201</v>
      </c>
      <c r="AQ160" s="1" t="str">
        <f t="shared" si="37"/>
        <v>ANDREA CAYCHO</v>
      </c>
      <c r="AR160" s="1">
        <f t="shared" si="35"/>
        <v>14</v>
      </c>
      <c r="AS160" s="1" t="str">
        <f t="shared" si="36"/>
        <v>CAYCHO HUANCA</v>
      </c>
      <c r="AT160" s="1">
        <f t="shared" si="38"/>
        <v>7</v>
      </c>
      <c r="AU160" s="1" t="str">
        <f t="shared" si="39"/>
        <v>ANDREA ALESSANDRA</v>
      </c>
      <c r="AV160" s="1">
        <f t="shared" si="40"/>
        <v>7</v>
      </c>
    </row>
    <row r="161" spans="1:48">
      <c r="A161" s="2" t="s">
        <v>106</v>
      </c>
      <c r="B161" s="2" t="s">
        <v>107</v>
      </c>
      <c r="C161" s="2" t="s">
        <v>108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6.9444444444444447E-4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2"/>
      <c r="AJ161" s="1">
        <v>6</v>
      </c>
      <c r="AK161" s="1">
        <f t="shared" si="41"/>
        <v>31</v>
      </c>
      <c r="AL161" s="10">
        <v>6.9444444444444441E-3</v>
      </c>
      <c r="AM161" s="1">
        <f t="shared" si="34"/>
        <v>0</v>
      </c>
      <c r="AN161" s="13">
        <f t="shared" si="42"/>
        <v>0</v>
      </c>
      <c r="AO161" s="14">
        <f t="shared" si="43"/>
        <v>0</v>
      </c>
      <c r="AP161" s="1" t="str">
        <f>VLOOKUP(B161,Hoja3!$A$1:$B$14,2,0)</f>
        <v>CESADO</v>
      </c>
      <c r="AQ161" s="1" t="str">
        <f t="shared" si="37"/>
        <v>ROCIO PAREDES</v>
      </c>
      <c r="AR161" s="1">
        <f t="shared" si="35"/>
        <v>16</v>
      </c>
      <c r="AS161" s="1" t="str">
        <f t="shared" si="36"/>
        <v>PAREDES GUILLEN</v>
      </c>
      <c r="AT161" s="1">
        <f t="shared" si="38"/>
        <v>8</v>
      </c>
      <c r="AU161" s="1" t="str">
        <f t="shared" si="39"/>
        <v>ROCIO NOEMI</v>
      </c>
      <c r="AV161" s="1">
        <f t="shared" si="40"/>
        <v>6</v>
      </c>
    </row>
    <row r="162" spans="1:48">
      <c r="A162" s="2" t="s">
        <v>26</v>
      </c>
      <c r="B162" s="2" t="s">
        <v>27</v>
      </c>
      <c r="C162" s="2" t="s">
        <v>28</v>
      </c>
      <c r="D162" s="5">
        <v>1.1805555555555555E-2</v>
      </c>
      <c r="E162" s="5">
        <v>3.1944444444444442E-2</v>
      </c>
      <c r="F162" s="5">
        <v>1.5972222222222221E-2</v>
      </c>
      <c r="G162" s="5">
        <v>1.8749999999999999E-2</v>
      </c>
      <c r="H162" s="5">
        <v>2.1527777777777778E-2</v>
      </c>
      <c r="I162" s="5">
        <v>2.2222222222222223E-2</v>
      </c>
      <c r="J162" s="5">
        <v>0</v>
      </c>
      <c r="K162" s="5">
        <v>2.5000000000000001E-2</v>
      </c>
      <c r="L162" s="5">
        <v>1.7361111111111112E-2</v>
      </c>
      <c r="M162" s="5">
        <v>2.6388888888888889E-2</v>
      </c>
      <c r="N162" s="5">
        <v>1.3194444444444444E-2</v>
      </c>
      <c r="O162" s="5">
        <v>2.2916666666666665E-2</v>
      </c>
      <c r="P162" s="5">
        <v>0</v>
      </c>
      <c r="Q162" s="5">
        <v>0</v>
      </c>
      <c r="R162" s="5">
        <v>1.8749999999999999E-2</v>
      </c>
      <c r="S162" s="5">
        <v>2.8472222222222222E-2</v>
      </c>
      <c r="T162" s="5">
        <v>1.8749999999999999E-2</v>
      </c>
      <c r="U162" s="5">
        <v>1.6666666666666666E-2</v>
      </c>
      <c r="V162" s="5">
        <v>2.5000000000000001E-2</v>
      </c>
      <c r="W162" s="5">
        <v>1.3888888888888888E-2</v>
      </c>
      <c r="X162" s="5">
        <v>0</v>
      </c>
      <c r="Y162" s="5">
        <v>1.3888888888888888E-2</v>
      </c>
      <c r="Z162" s="5">
        <v>2.0833333333333332E-2</v>
      </c>
      <c r="AA162" s="5">
        <v>1.4583333333333334E-2</v>
      </c>
      <c r="AB162" s="5">
        <v>1.6666666666666666E-2</v>
      </c>
      <c r="AC162" s="5">
        <v>2.1527777777777778E-2</v>
      </c>
      <c r="AD162" s="5">
        <v>1.1111111111111112E-2</v>
      </c>
      <c r="AE162" s="5">
        <v>0</v>
      </c>
      <c r="AF162" s="5">
        <v>1.0416666666666666E-2</v>
      </c>
      <c r="AG162" s="5">
        <v>1.2500000000000001E-2</v>
      </c>
      <c r="AH162" s="5">
        <v>1.3888888888888888E-2</v>
      </c>
      <c r="AI162" s="2"/>
      <c r="AJ162" s="1">
        <v>6</v>
      </c>
      <c r="AK162" s="1">
        <f t="shared" si="41"/>
        <v>31</v>
      </c>
      <c r="AL162" s="10">
        <v>6.9444444444444441E-3</v>
      </c>
      <c r="AM162" s="1">
        <f t="shared" si="34"/>
        <v>26</v>
      </c>
      <c r="AN162" s="13">
        <f t="shared" si="42"/>
        <v>0.83870967741935487</v>
      </c>
      <c r="AO162" s="14">
        <f t="shared" si="43"/>
        <v>0</v>
      </c>
      <c r="AP162" s="1" t="s">
        <v>201</v>
      </c>
      <c r="AQ162" s="1" t="str">
        <f t="shared" si="37"/>
        <v>ANGELICA PRETELL</v>
      </c>
      <c r="AR162" s="1">
        <f t="shared" si="35"/>
        <v>16</v>
      </c>
      <c r="AS162" s="1" t="str">
        <f t="shared" si="36"/>
        <v>PRETELL PINTADO</v>
      </c>
      <c r="AT162" s="1">
        <f t="shared" si="38"/>
        <v>8</v>
      </c>
      <c r="AU162" s="1" t="str">
        <f t="shared" si="39"/>
        <v>ANGELICA DIANA</v>
      </c>
      <c r="AV162" s="1">
        <f t="shared" si="40"/>
        <v>9</v>
      </c>
    </row>
    <row r="163" spans="1:48">
      <c r="A163" s="2" t="s">
        <v>29</v>
      </c>
      <c r="B163" s="2" t="s">
        <v>30</v>
      </c>
      <c r="C163" s="2" t="s">
        <v>31</v>
      </c>
      <c r="D163" s="5">
        <v>9.0277777777777769E-3</v>
      </c>
      <c r="E163" s="5">
        <v>0</v>
      </c>
      <c r="F163" s="5">
        <v>4.1666666666666666E-3</v>
      </c>
      <c r="G163" s="5">
        <v>6.2500000000000003E-3</v>
      </c>
      <c r="H163" s="5">
        <v>0</v>
      </c>
      <c r="I163" s="5">
        <v>0</v>
      </c>
      <c r="J163" s="5">
        <v>0</v>
      </c>
      <c r="K163" s="5">
        <v>3.472222222222222E-3</v>
      </c>
      <c r="L163" s="5">
        <v>0</v>
      </c>
      <c r="M163" s="5">
        <v>1.4583333333333334E-2</v>
      </c>
      <c r="N163" s="5">
        <v>7.6388888888888886E-3</v>
      </c>
      <c r="O163" s="5">
        <v>2.0833333333333333E-3</v>
      </c>
      <c r="P163" s="5">
        <v>0</v>
      </c>
      <c r="Q163" s="5">
        <v>0</v>
      </c>
      <c r="R163" s="5">
        <v>0</v>
      </c>
      <c r="S163" s="5">
        <v>0</v>
      </c>
      <c r="T163" s="5">
        <v>1.1111111111111112E-2</v>
      </c>
      <c r="U163" s="5">
        <v>2.7777777777777779E-3</v>
      </c>
      <c r="V163" s="5">
        <v>0</v>
      </c>
      <c r="W163" s="5">
        <v>4.1666666666666666E-3</v>
      </c>
      <c r="X163" s="5">
        <v>0</v>
      </c>
      <c r="Y163" s="5">
        <v>2.4305555555555556E-2</v>
      </c>
      <c r="Z163" s="5">
        <v>0</v>
      </c>
      <c r="AA163" s="5">
        <v>2.1527777777777778E-2</v>
      </c>
      <c r="AB163" s="5">
        <v>2.0833333333333333E-3</v>
      </c>
      <c r="AC163" s="5">
        <v>4.8611111111111112E-3</v>
      </c>
      <c r="AD163" s="5">
        <v>1.2500000000000001E-2</v>
      </c>
      <c r="AE163" s="5">
        <v>0</v>
      </c>
      <c r="AF163" s="5">
        <v>1.3888888888888888E-2</v>
      </c>
      <c r="AG163" s="5">
        <v>0</v>
      </c>
      <c r="AH163" s="5">
        <v>9.0277777777777769E-3</v>
      </c>
      <c r="AI163" s="2"/>
      <c r="AJ163" s="1">
        <v>6</v>
      </c>
      <c r="AK163" s="1">
        <f t="shared" si="41"/>
        <v>31</v>
      </c>
      <c r="AL163" s="10">
        <v>6.9444444444444441E-3</v>
      </c>
      <c r="AM163" s="1">
        <f t="shared" si="34"/>
        <v>9</v>
      </c>
      <c r="AN163" s="13">
        <f t="shared" si="42"/>
        <v>0.29032258064516131</v>
      </c>
      <c r="AO163" s="14">
        <f t="shared" si="43"/>
        <v>0</v>
      </c>
      <c r="AP163" s="1" t="s">
        <v>203</v>
      </c>
      <c r="AQ163" s="1" t="str">
        <f t="shared" si="37"/>
        <v>CARLOS LOPEZ</v>
      </c>
      <c r="AR163" s="1">
        <f t="shared" si="35"/>
        <v>13</v>
      </c>
      <c r="AS163" s="1" t="str">
        <f t="shared" si="36"/>
        <v>LOPEZ FARIAS</v>
      </c>
      <c r="AT163" s="1">
        <f t="shared" si="38"/>
        <v>6</v>
      </c>
      <c r="AU163" s="1" t="str">
        <f t="shared" si="39"/>
        <v>CARLOS JOAQUIN</v>
      </c>
      <c r="AV163" s="1">
        <f t="shared" si="40"/>
        <v>7</v>
      </c>
    </row>
    <row r="164" spans="1:48">
      <c r="A164" s="2" t="s">
        <v>32</v>
      </c>
      <c r="B164" s="2" t="s">
        <v>33</v>
      </c>
      <c r="C164" s="2" t="s">
        <v>34</v>
      </c>
      <c r="D164" s="5">
        <v>4.8611111111111112E-3</v>
      </c>
      <c r="E164" s="5">
        <v>1.5277777777777777E-2</v>
      </c>
      <c r="F164" s="5">
        <v>6.9444444444444441E-3</v>
      </c>
      <c r="G164" s="5">
        <v>1.1111111111111112E-2</v>
      </c>
      <c r="H164" s="5">
        <v>1.0416666666666666E-2</v>
      </c>
      <c r="I164" s="5">
        <v>2.7777777777777779E-3</v>
      </c>
      <c r="J164" s="5">
        <v>0</v>
      </c>
      <c r="K164" s="5">
        <v>0</v>
      </c>
      <c r="L164" s="5">
        <v>1.1805555555555555E-2</v>
      </c>
      <c r="M164" s="5">
        <v>4.8611111111111112E-3</v>
      </c>
      <c r="N164" s="5">
        <v>1.3194444444444444E-2</v>
      </c>
      <c r="O164" s="5">
        <v>1.9444444444444445E-2</v>
      </c>
      <c r="P164" s="5">
        <v>0</v>
      </c>
      <c r="Q164" s="5">
        <v>0</v>
      </c>
      <c r="R164" s="5">
        <v>2.0833333333333333E-3</v>
      </c>
      <c r="S164" s="5">
        <v>1.1805555555555555E-2</v>
      </c>
      <c r="T164" s="5">
        <v>1.0416666666666666E-2</v>
      </c>
      <c r="U164" s="5">
        <v>3.472222222222222E-3</v>
      </c>
      <c r="V164" s="5">
        <v>0</v>
      </c>
      <c r="W164" s="5">
        <v>1.3888888888888889E-3</v>
      </c>
      <c r="X164" s="5">
        <v>0</v>
      </c>
      <c r="Y164" s="5">
        <v>0</v>
      </c>
      <c r="Z164" s="5">
        <v>2.0833333333333333E-3</v>
      </c>
      <c r="AA164" s="5">
        <v>6.9444444444444447E-4</v>
      </c>
      <c r="AB164" s="5">
        <v>1.1111111111111112E-2</v>
      </c>
      <c r="AC164" s="5">
        <v>0</v>
      </c>
      <c r="AD164" s="5">
        <v>0</v>
      </c>
      <c r="AE164" s="5">
        <v>0</v>
      </c>
      <c r="AF164" s="5">
        <v>0</v>
      </c>
      <c r="AG164" s="5">
        <v>1.0416666666666666E-2</v>
      </c>
      <c r="AH164" s="5">
        <v>9.7222222222222224E-3</v>
      </c>
      <c r="AI164" s="2"/>
      <c r="AJ164" s="1">
        <v>6</v>
      </c>
      <c r="AK164" s="1">
        <f t="shared" si="41"/>
        <v>31</v>
      </c>
      <c r="AL164" s="10">
        <v>6.9444444444444441E-3</v>
      </c>
      <c r="AM164" s="1">
        <f t="shared" si="34"/>
        <v>11</v>
      </c>
      <c r="AN164" s="13">
        <f t="shared" si="42"/>
        <v>0.35483870967741937</v>
      </c>
      <c r="AO164" s="14">
        <f t="shared" si="43"/>
        <v>0</v>
      </c>
      <c r="AP164" s="1" t="s">
        <v>203</v>
      </c>
      <c r="AQ164" s="1" t="str">
        <f t="shared" si="37"/>
        <v>RONY CRUZ</v>
      </c>
      <c r="AR164" s="1">
        <f t="shared" si="35"/>
        <v>11</v>
      </c>
      <c r="AS164" s="1" t="str">
        <f t="shared" si="36"/>
        <v>CRUZ TAIPE</v>
      </c>
      <c r="AT164" s="1">
        <f t="shared" si="38"/>
        <v>5</v>
      </c>
      <c r="AU164" s="1" t="str">
        <f t="shared" si="39"/>
        <v>RONY WALDIR</v>
      </c>
      <c r="AV164" s="1">
        <f t="shared" si="40"/>
        <v>5</v>
      </c>
    </row>
    <row r="165" spans="1:48">
      <c r="A165" s="2" t="s">
        <v>36</v>
      </c>
      <c r="B165" s="2" t="s">
        <v>37</v>
      </c>
      <c r="C165" s="2" t="s">
        <v>38</v>
      </c>
      <c r="D165" s="5">
        <v>2.0833333333333333E-3</v>
      </c>
      <c r="E165" s="5">
        <v>2.7777777777777779E-3</v>
      </c>
      <c r="F165" s="5">
        <v>1.4583333333333334E-2</v>
      </c>
      <c r="G165" s="5">
        <v>1.4583333333333334E-2</v>
      </c>
      <c r="H165" s="5">
        <v>9.0277777777777769E-3</v>
      </c>
      <c r="I165" s="5">
        <v>1.5277777777777777E-2</v>
      </c>
      <c r="J165" s="5">
        <v>0</v>
      </c>
      <c r="K165" s="5">
        <v>6.9444444444444441E-3</v>
      </c>
      <c r="L165" s="5">
        <v>4.8611111111111112E-3</v>
      </c>
      <c r="M165" s="5">
        <v>1.1111111111111112E-2</v>
      </c>
      <c r="N165" s="5">
        <v>3.472222222222222E-3</v>
      </c>
      <c r="O165" s="5">
        <v>1.3194444444444444E-2</v>
      </c>
      <c r="P165" s="5">
        <v>0</v>
      </c>
      <c r="Q165" s="5">
        <v>0</v>
      </c>
      <c r="R165" s="5">
        <v>1.5277777777777777E-2</v>
      </c>
      <c r="S165" s="5">
        <v>2.0833333333333333E-3</v>
      </c>
      <c r="T165" s="5">
        <v>4.1666666666666666E-3</v>
      </c>
      <c r="U165" s="5">
        <v>2.0833333333333333E-3</v>
      </c>
      <c r="V165" s="5">
        <v>0</v>
      </c>
      <c r="W165" s="2" t="s">
        <v>49</v>
      </c>
      <c r="X165" s="5">
        <v>0</v>
      </c>
      <c r="Y165" s="2" t="s">
        <v>51</v>
      </c>
      <c r="Z165" s="2" t="s">
        <v>109</v>
      </c>
      <c r="AA165" s="2" t="s">
        <v>49</v>
      </c>
      <c r="AB165" s="5">
        <v>2.7777777777777779E-3</v>
      </c>
      <c r="AC165" s="5">
        <v>1.1805555555555555E-2</v>
      </c>
      <c r="AD165" s="5">
        <v>5.5555555555555558E-3</v>
      </c>
      <c r="AE165" s="5">
        <v>0</v>
      </c>
      <c r="AF165" s="5">
        <v>0</v>
      </c>
      <c r="AG165" s="2" t="s">
        <v>49</v>
      </c>
      <c r="AH165" s="5">
        <v>2.7777777777777779E-3</v>
      </c>
      <c r="AI165" s="2"/>
      <c r="AJ165" s="1">
        <v>6</v>
      </c>
      <c r="AK165" s="1">
        <f t="shared" ref="AK165:AK196" si="46">COUNTA(D165:AI165)</f>
        <v>31</v>
      </c>
      <c r="AL165" s="10">
        <v>6.9444444444444441E-3</v>
      </c>
      <c r="AM165" s="1">
        <f t="shared" si="34"/>
        <v>8</v>
      </c>
      <c r="AN165" s="13">
        <f t="shared" ref="AN165:AN196" si="47">+AM165/AK165</f>
        <v>0.25806451612903225</v>
      </c>
      <c r="AO165" s="14">
        <f t="shared" ref="AO165:AO196" si="48">COUNTIF(D165:AI165,"F")</f>
        <v>3</v>
      </c>
      <c r="AP165" s="1" t="s">
        <v>201</v>
      </c>
      <c r="AQ165" s="1" t="str">
        <f t="shared" si="37"/>
        <v>MARQUIÑO ANDRADE</v>
      </c>
      <c r="AR165" s="1">
        <f t="shared" si="35"/>
        <v>13</v>
      </c>
      <c r="AS165" s="1" t="str">
        <f t="shared" si="36"/>
        <v>ANDRADE MERA</v>
      </c>
      <c r="AT165" s="1">
        <f t="shared" si="38"/>
        <v>8</v>
      </c>
      <c r="AU165" s="1" t="str">
        <f t="shared" si="39"/>
        <v>MARQUIÑO ANTONY</v>
      </c>
      <c r="AV165" s="1">
        <f t="shared" si="40"/>
        <v>9</v>
      </c>
    </row>
    <row r="166" spans="1:48">
      <c r="A166" s="2" t="s">
        <v>39</v>
      </c>
      <c r="B166" s="2" t="s">
        <v>40</v>
      </c>
      <c r="C166" s="2" t="s">
        <v>41</v>
      </c>
      <c r="D166" s="5">
        <v>0</v>
      </c>
      <c r="E166" s="5">
        <v>0</v>
      </c>
      <c r="F166" s="5">
        <v>0</v>
      </c>
      <c r="G166" s="5">
        <v>6.9444444444444441E-3</v>
      </c>
      <c r="H166" s="5">
        <v>9.7222222222222224E-3</v>
      </c>
      <c r="I166" s="5">
        <v>6.2500000000000003E-3</v>
      </c>
      <c r="J166" s="5">
        <v>0</v>
      </c>
      <c r="K166" s="5">
        <v>3.472222222222222E-3</v>
      </c>
      <c r="L166" s="5">
        <v>0</v>
      </c>
      <c r="M166" s="5">
        <v>0</v>
      </c>
      <c r="N166" s="5">
        <v>0</v>
      </c>
      <c r="O166" s="5">
        <v>2.7777777777777779E-3</v>
      </c>
      <c r="P166" s="5">
        <v>0</v>
      </c>
      <c r="Q166" s="5">
        <v>0</v>
      </c>
      <c r="R166" s="5">
        <v>6.9444444444444447E-4</v>
      </c>
      <c r="S166" s="5">
        <v>0</v>
      </c>
      <c r="T166" s="5">
        <v>0</v>
      </c>
      <c r="U166" s="5">
        <v>2.013888888888889E-2</v>
      </c>
      <c r="V166" s="5">
        <v>0</v>
      </c>
      <c r="W166" s="5">
        <v>0</v>
      </c>
      <c r="X166" s="5">
        <v>0</v>
      </c>
      <c r="Y166" s="5">
        <v>2.0833333333333333E-3</v>
      </c>
      <c r="Z166" s="5">
        <v>1.3888888888888889E-3</v>
      </c>
      <c r="AA166" s="5">
        <v>7.6388888888888886E-3</v>
      </c>
      <c r="AB166" s="5">
        <v>0</v>
      </c>
      <c r="AC166" s="5">
        <v>0</v>
      </c>
      <c r="AD166" s="5">
        <v>6.2500000000000003E-3</v>
      </c>
      <c r="AE166" s="5">
        <v>0</v>
      </c>
      <c r="AF166" s="5">
        <v>6.9444444444444447E-4</v>
      </c>
      <c r="AG166" s="5">
        <v>6.9444444444444447E-4</v>
      </c>
      <c r="AH166" s="5">
        <v>9.0277777777777769E-3</v>
      </c>
      <c r="AI166" s="2"/>
      <c r="AJ166" s="1">
        <v>6</v>
      </c>
      <c r="AK166" s="1">
        <f t="shared" si="46"/>
        <v>31</v>
      </c>
      <c r="AL166" s="10">
        <v>6.9444444444444441E-3</v>
      </c>
      <c r="AM166" s="1">
        <f t="shared" si="34"/>
        <v>4</v>
      </c>
      <c r="AN166" s="13">
        <f t="shared" si="47"/>
        <v>0.12903225806451613</v>
      </c>
      <c r="AO166" s="14">
        <f t="shared" si="48"/>
        <v>0</v>
      </c>
      <c r="AP166" s="1" t="s">
        <v>203</v>
      </c>
      <c r="AQ166" s="1" t="str">
        <f t="shared" si="37"/>
        <v>FRANCISCO MEJIA</v>
      </c>
      <c r="AR166" s="1">
        <f t="shared" si="35"/>
        <v>13</v>
      </c>
      <c r="AS166" s="1" t="str">
        <f t="shared" si="36"/>
        <v>MEJIA TORRES</v>
      </c>
      <c r="AT166" s="1">
        <f t="shared" si="38"/>
        <v>6</v>
      </c>
      <c r="AU166" s="1" t="str">
        <f t="shared" si="39"/>
        <v>FRANCISCO JAVIER</v>
      </c>
      <c r="AV166" s="1">
        <f t="shared" si="40"/>
        <v>10</v>
      </c>
    </row>
    <row r="167" spans="1:48">
      <c r="A167" s="2" t="s">
        <v>42</v>
      </c>
      <c r="B167" s="2" t="s">
        <v>43</v>
      </c>
      <c r="C167" s="2" t="s">
        <v>44</v>
      </c>
      <c r="D167" s="5">
        <v>0</v>
      </c>
      <c r="E167" s="5">
        <v>0</v>
      </c>
      <c r="F167" s="2" t="s">
        <v>49</v>
      </c>
      <c r="G167" s="5">
        <v>0</v>
      </c>
      <c r="H167" s="5">
        <v>1.3888888888888889E-3</v>
      </c>
      <c r="I167" s="5">
        <v>8.3333333333333332E-3</v>
      </c>
      <c r="J167" s="5">
        <v>0</v>
      </c>
      <c r="K167" s="5">
        <v>7.6388888888888886E-3</v>
      </c>
      <c r="L167" s="5">
        <v>0</v>
      </c>
      <c r="M167" s="5">
        <v>6.9444444444444441E-3</v>
      </c>
      <c r="N167" s="5">
        <v>6.9444444444444441E-3</v>
      </c>
      <c r="O167" s="5">
        <v>2.0833333333333333E-3</v>
      </c>
      <c r="P167" s="5">
        <v>0</v>
      </c>
      <c r="Q167" s="5">
        <v>0</v>
      </c>
      <c r="R167" s="5">
        <v>0</v>
      </c>
      <c r="S167" s="5">
        <v>0</v>
      </c>
      <c r="T167" s="2" t="s">
        <v>110</v>
      </c>
      <c r="U167" s="5">
        <v>4.8611111111111112E-3</v>
      </c>
      <c r="V167" s="2" t="s">
        <v>111</v>
      </c>
      <c r="W167" s="5">
        <v>0</v>
      </c>
      <c r="X167" s="5">
        <v>0</v>
      </c>
      <c r="Y167" s="2" t="s">
        <v>112</v>
      </c>
      <c r="Z167" s="5">
        <v>4.8611111111111112E-3</v>
      </c>
      <c r="AA167" s="2" t="s">
        <v>53</v>
      </c>
      <c r="AB167" s="5">
        <v>0</v>
      </c>
      <c r="AC167" s="5">
        <v>0</v>
      </c>
      <c r="AD167" s="5">
        <v>6.2500000000000003E-3</v>
      </c>
      <c r="AE167" s="5">
        <v>0</v>
      </c>
      <c r="AF167" s="2" t="s">
        <v>113</v>
      </c>
      <c r="AG167" s="5">
        <v>5.5555555555555558E-3</v>
      </c>
      <c r="AH167" s="2" t="s">
        <v>75</v>
      </c>
      <c r="AI167" s="2"/>
      <c r="AJ167" s="1">
        <v>6</v>
      </c>
      <c r="AK167" s="1">
        <f t="shared" si="46"/>
        <v>31</v>
      </c>
      <c r="AL167" s="10">
        <v>6.9444444444444441E-3</v>
      </c>
      <c r="AM167" s="1">
        <f t="shared" si="34"/>
        <v>2</v>
      </c>
      <c r="AN167" s="13">
        <f t="shared" si="47"/>
        <v>6.4516129032258063E-2</v>
      </c>
      <c r="AO167" s="14">
        <f t="shared" si="48"/>
        <v>1</v>
      </c>
      <c r="AP167" s="1" t="s">
        <v>203</v>
      </c>
      <c r="AQ167" s="1" t="str">
        <f t="shared" si="37"/>
        <v>CARLOS GUEVARA</v>
      </c>
      <c r="AR167" s="1">
        <f t="shared" si="35"/>
        <v>16</v>
      </c>
      <c r="AS167" s="1" t="str">
        <f t="shared" si="36"/>
        <v>GUEVARA CABELLO</v>
      </c>
      <c r="AT167" s="1">
        <f t="shared" si="38"/>
        <v>8</v>
      </c>
      <c r="AU167" s="1" t="str">
        <f t="shared" si="39"/>
        <v>CARLOS JEANPIERRE</v>
      </c>
      <c r="AV167" s="1">
        <f t="shared" si="40"/>
        <v>7</v>
      </c>
    </row>
    <row r="168" spans="1:48">
      <c r="A168" s="2" t="s">
        <v>54</v>
      </c>
      <c r="B168" s="2" t="s">
        <v>55</v>
      </c>
      <c r="C168" s="2" t="s">
        <v>56</v>
      </c>
      <c r="D168" s="5">
        <v>1.8055555555555554E-2</v>
      </c>
      <c r="E168" s="5">
        <v>0</v>
      </c>
      <c r="F168" s="5">
        <v>3.9583333333333331E-2</v>
      </c>
      <c r="G168" s="2" t="s">
        <v>114</v>
      </c>
      <c r="H168" s="5">
        <v>0</v>
      </c>
      <c r="I168" s="5">
        <v>0</v>
      </c>
      <c r="J168" s="5">
        <v>0</v>
      </c>
      <c r="K168" s="5">
        <v>0</v>
      </c>
      <c r="L168" s="5">
        <v>9.7222222222222224E-3</v>
      </c>
      <c r="M168" s="2" t="s">
        <v>115</v>
      </c>
      <c r="N168" s="5">
        <v>2.013888888888889E-2</v>
      </c>
      <c r="O168" s="5">
        <v>1.1805555555555555E-2</v>
      </c>
      <c r="P168" s="5">
        <v>0</v>
      </c>
      <c r="Q168" s="5">
        <v>0</v>
      </c>
      <c r="R168" s="5">
        <v>2.9166666666666667E-2</v>
      </c>
      <c r="S168" s="5">
        <v>2.7777777777777776E-2</v>
      </c>
      <c r="T168" s="5">
        <v>0</v>
      </c>
      <c r="U168" s="2" t="s">
        <v>116</v>
      </c>
      <c r="V168" s="2" t="s">
        <v>110</v>
      </c>
      <c r="W168" s="5">
        <v>0</v>
      </c>
      <c r="X168" s="5">
        <v>0</v>
      </c>
      <c r="Y168" s="5">
        <v>3.0555555555555555E-2</v>
      </c>
      <c r="Z168" s="5">
        <v>0</v>
      </c>
      <c r="AA168" s="5">
        <v>0</v>
      </c>
      <c r="AB168" s="5">
        <v>0</v>
      </c>
      <c r="AC168" s="5">
        <v>1.8749999999999999E-2</v>
      </c>
      <c r="AD168" s="5">
        <v>0</v>
      </c>
      <c r="AE168" s="5">
        <v>0</v>
      </c>
      <c r="AF168" s="5">
        <v>3.125E-2</v>
      </c>
      <c r="AG168" s="5">
        <v>2.5694444444444443E-2</v>
      </c>
      <c r="AH168" s="5">
        <v>2.7777777777777776E-2</v>
      </c>
      <c r="AI168" s="2"/>
      <c r="AJ168" s="1">
        <v>6</v>
      </c>
      <c r="AK168" s="1">
        <f t="shared" si="46"/>
        <v>31</v>
      </c>
      <c r="AL168" s="10">
        <v>6.9444444444444441E-3</v>
      </c>
      <c r="AM168" s="1">
        <f t="shared" si="34"/>
        <v>12</v>
      </c>
      <c r="AN168" s="13">
        <f t="shared" si="47"/>
        <v>0.38709677419354838</v>
      </c>
      <c r="AO168" s="14">
        <f t="shared" si="48"/>
        <v>0</v>
      </c>
      <c r="AP168" s="1" t="s">
        <v>203</v>
      </c>
      <c r="AQ168" s="1" t="str">
        <f t="shared" ref="AQ168:AQ169" si="49">CONCATENATE(AU168," ",(MID(AS168,1,AT168-1)))</f>
        <v>KIMBERLLY AMES</v>
      </c>
      <c r="AR168" s="1">
        <f t="shared" si="35"/>
        <v>14</v>
      </c>
      <c r="AS168" s="1" t="str">
        <f t="shared" si="36"/>
        <v>AMES ESPINOZA</v>
      </c>
      <c r="AT168" s="1">
        <f t="shared" si="38"/>
        <v>5</v>
      </c>
      <c r="AU168" s="1" t="str">
        <f t="shared" si="39"/>
        <v>KIMBERLLY</v>
      </c>
      <c r="AV168" s="1" t="e">
        <f t="shared" si="40"/>
        <v>#VALUE!</v>
      </c>
    </row>
    <row r="169" spans="1:48">
      <c r="A169" s="2" t="s">
        <v>58</v>
      </c>
      <c r="B169" s="2" t="s">
        <v>59</v>
      </c>
      <c r="C169" s="2" t="s">
        <v>60</v>
      </c>
      <c r="D169" s="5">
        <v>1.7361111111111112E-2</v>
      </c>
      <c r="E169" s="5">
        <v>2.2916666666666665E-2</v>
      </c>
      <c r="F169" s="5">
        <v>2.7083333333333334E-2</v>
      </c>
      <c r="G169" s="5">
        <v>2.0833333333333332E-2</v>
      </c>
      <c r="H169" s="2" t="s">
        <v>117</v>
      </c>
      <c r="I169" s="5">
        <v>1.8749999999999999E-2</v>
      </c>
      <c r="J169" s="5">
        <v>0</v>
      </c>
      <c r="K169" s="5">
        <v>2.0833333333333332E-2</v>
      </c>
      <c r="L169" s="5">
        <v>2.7083333333333334E-2</v>
      </c>
      <c r="M169" s="5">
        <v>1.9444444444444445E-2</v>
      </c>
      <c r="N169" s="5">
        <v>2.9166666666666667E-2</v>
      </c>
      <c r="O169" s="5">
        <v>2.5000000000000001E-2</v>
      </c>
      <c r="P169" s="5">
        <v>0</v>
      </c>
      <c r="Q169" s="5">
        <v>0</v>
      </c>
      <c r="R169" s="5">
        <v>2.013888888888889E-2</v>
      </c>
      <c r="S169" s="5">
        <v>1.1805555555555555E-2</v>
      </c>
      <c r="T169" s="5">
        <v>2.361111111111111E-2</v>
      </c>
      <c r="U169" s="5">
        <v>1.7361111111111112E-2</v>
      </c>
      <c r="V169" s="5">
        <v>1.8055555555555554E-2</v>
      </c>
      <c r="W169" s="5">
        <v>1.2500000000000001E-2</v>
      </c>
      <c r="X169" s="5">
        <v>0</v>
      </c>
      <c r="Y169" s="5">
        <v>1.5972222222222221E-2</v>
      </c>
      <c r="Z169" s="5">
        <v>2.5694444444444443E-2</v>
      </c>
      <c r="AA169" s="5">
        <v>1.2500000000000001E-2</v>
      </c>
      <c r="AB169" s="5">
        <v>3.0555555555555555E-2</v>
      </c>
      <c r="AC169" s="5">
        <v>2.9166666666666667E-2</v>
      </c>
      <c r="AD169" s="5">
        <v>1.7361111111111112E-2</v>
      </c>
      <c r="AE169" s="5">
        <v>0</v>
      </c>
      <c r="AF169" s="5">
        <v>2.8472222222222222E-2</v>
      </c>
      <c r="AG169" s="5">
        <v>1.5972222222222221E-2</v>
      </c>
      <c r="AH169" s="5">
        <v>1.1805555555555555E-2</v>
      </c>
      <c r="AI169" s="2"/>
      <c r="AJ169" s="1">
        <v>6</v>
      </c>
      <c r="AK169" s="1">
        <f t="shared" si="46"/>
        <v>31</v>
      </c>
      <c r="AL169" s="10">
        <v>6.9444444444444441E-3</v>
      </c>
      <c r="AM169" s="1">
        <f t="shared" si="34"/>
        <v>25</v>
      </c>
      <c r="AN169" s="13">
        <f t="shared" si="47"/>
        <v>0.80645161290322576</v>
      </c>
      <c r="AO169" s="14">
        <f t="shared" si="48"/>
        <v>0</v>
      </c>
      <c r="AP169" s="1" t="s">
        <v>203</v>
      </c>
      <c r="AQ169" s="1" t="str">
        <f t="shared" si="49"/>
        <v>LILIANA ALVARADO</v>
      </c>
      <c r="AR169" s="1">
        <f t="shared" si="35"/>
        <v>16</v>
      </c>
      <c r="AS169" s="1" t="str">
        <f t="shared" si="36"/>
        <v>ALVARADO ECHAIZ</v>
      </c>
      <c r="AT169" s="1">
        <f t="shared" si="38"/>
        <v>9</v>
      </c>
      <c r="AU169" s="1" t="str">
        <f t="shared" si="39"/>
        <v>LILIANA</v>
      </c>
      <c r="AV169" s="1" t="e">
        <f t="shared" si="40"/>
        <v>#VALUE!</v>
      </c>
    </row>
    <row r="170" spans="1:48">
      <c r="A170" s="2" t="s">
        <v>61</v>
      </c>
      <c r="B170" s="2" t="s">
        <v>62</v>
      </c>
      <c r="C170" s="2" t="s">
        <v>63</v>
      </c>
      <c r="D170" s="5">
        <v>2.0833333333333333E-3</v>
      </c>
      <c r="E170" s="5">
        <v>4.1666666666666666E-3</v>
      </c>
      <c r="F170" s="5">
        <v>0</v>
      </c>
      <c r="G170" s="2" t="s">
        <v>118</v>
      </c>
      <c r="H170" s="5">
        <v>0</v>
      </c>
      <c r="I170" s="5">
        <v>0</v>
      </c>
      <c r="J170" s="5">
        <v>0</v>
      </c>
      <c r="K170" s="5">
        <v>0</v>
      </c>
      <c r="L170" s="5">
        <v>3.472222222222222E-3</v>
      </c>
      <c r="M170" s="5">
        <v>4.1666666666666666E-3</v>
      </c>
      <c r="N170" s="5">
        <v>1.3888888888888888E-2</v>
      </c>
      <c r="O170" s="5">
        <v>4.8611111111111112E-3</v>
      </c>
      <c r="P170" s="5">
        <v>0</v>
      </c>
      <c r="Q170" s="5">
        <v>0</v>
      </c>
      <c r="R170" s="5">
        <v>6.9444444444444447E-4</v>
      </c>
      <c r="S170" s="5">
        <v>0</v>
      </c>
      <c r="T170" s="5">
        <v>1.2500000000000001E-2</v>
      </c>
      <c r="U170" s="5">
        <v>4.1666666666666666E-3</v>
      </c>
      <c r="V170" s="5">
        <v>4.8611111111111112E-3</v>
      </c>
      <c r="W170" s="5">
        <v>1.3888888888888889E-3</v>
      </c>
      <c r="X170" s="5">
        <v>0</v>
      </c>
      <c r="Y170" s="5">
        <v>1.3888888888888889E-3</v>
      </c>
      <c r="Z170" s="5">
        <v>6.9444444444444447E-4</v>
      </c>
      <c r="AA170" s="5">
        <v>0</v>
      </c>
      <c r="AB170" s="5">
        <v>3.472222222222222E-3</v>
      </c>
      <c r="AC170" s="5">
        <v>6.2500000000000003E-3</v>
      </c>
      <c r="AD170" s="5">
        <v>6.9444444444444447E-4</v>
      </c>
      <c r="AE170" s="5">
        <v>0</v>
      </c>
      <c r="AF170" s="5">
        <v>0</v>
      </c>
      <c r="AG170" s="5">
        <v>2.4305555555555556E-2</v>
      </c>
      <c r="AH170" s="5">
        <v>9.0277777777777769E-3</v>
      </c>
      <c r="AI170" s="2"/>
      <c r="AJ170" s="1">
        <v>6</v>
      </c>
      <c r="AK170" s="1">
        <f t="shared" si="46"/>
        <v>31</v>
      </c>
      <c r="AL170" s="10">
        <v>6.9444444444444441E-3</v>
      </c>
      <c r="AM170" s="1">
        <f t="shared" si="34"/>
        <v>4</v>
      </c>
      <c r="AN170" s="13">
        <f t="shared" si="47"/>
        <v>0.12903225806451613</v>
      </c>
      <c r="AO170" s="14">
        <f t="shared" si="48"/>
        <v>0</v>
      </c>
      <c r="AP170" s="1" t="s">
        <v>203</v>
      </c>
      <c r="AQ170" s="1" t="str">
        <f t="shared" si="37"/>
        <v>MANUEL MERMA</v>
      </c>
      <c r="AR170" s="1">
        <f t="shared" si="35"/>
        <v>12</v>
      </c>
      <c r="AS170" s="1" t="str">
        <f t="shared" si="36"/>
        <v>MERMA CHILA</v>
      </c>
      <c r="AT170" s="1">
        <f t="shared" si="38"/>
        <v>6</v>
      </c>
      <c r="AU170" s="1" t="str">
        <f t="shared" si="39"/>
        <v>MANUEL ENRIQUE</v>
      </c>
      <c r="AV170" s="1">
        <f t="shared" si="40"/>
        <v>7</v>
      </c>
    </row>
    <row r="171" spans="1:48">
      <c r="A171" s="2" t="s">
        <v>64</v>
      </c>
      <c r="B171" s="2" t="s">
        <v>65</v>
      </c>
      <c r="C171" s="2" t="s">
        <v>66</v>
      </c>
      <c r="D171" s="5">
        <v>0</v>
      </c>
      <c r="E171" s="5">
        <v>1.4583333333333334E-2</v>
      </c>
      <c r="F171" s="5">
        <v>2.013888888888889E-2</v>
      </c>
      <c r="G171" s="2" t="s">
        <v>119</v>
      </c>
      <c r="H171" s="5">
        <v>1.9444444444444445E-2</v>
      </c>
      <c r="I171" s="5">
        <v>2.7777777777777776E-2</v>
      </c>
      <c r="J171" s="5">
        <v>0</v>
      </c>
      <c r="K171" s="5">
        <v>4.1666666666666666E-3</v>
      </c>
      <c r="L171" s="5">
        <v>1.7361111111111112E-2</v>
      </c>
      <c r="M171" s="5">
        <v>1.4583333333333334E-2</v>
      </c>
      <c r="N171" s="5">
        <v>6.2500000000000003E-3</v>
      </c>
      <c r="O171" s="5">
        <v>2.2916666666666665E-2</v>
      </c>
      <c r="P171" s="5">
        <v>0</v>
      </c>
      <c r="Q171" s="5">
        <v>0</v>
      </c>
      <c r="R171" s="5">
        <v>2.7083333333333334E-2</v>
      </c>
      <c r="S171" s="5">
        <v>0</v>
      </c>
      <c r="T171" s="5">
        <v>7.6388888888888886E-3</v>
      </c>
      <c r="U171" s="5">
        <v>1.0416666666666666E-2</v>
      </c>
      <c r="V171" s="5">
        <v>1.2500000000000001E-2</v>
      </c>
      <c r="W171" s="2" t="s">
        <v>120</v>
      </c>
      <c r="X171" s="5">
        <v>0</v>
      </c>
      <c r="Y171" s="5">
        <v>2.9166666666666667E-2</v>
      </c>
      <c r="Z171" s="5">
        <v>4.1666666666666666E-3</v>
      </c>
      <c r="AA171" s="5">
        <v>2.0833333333333333E-3</v>
      </c>
      <c r="AB171" s="5">
        <v>4.1666666666666666E-3</v>
      </c>
      <c r="AC171" s="5">
        <v>3.4722222222222224E-2</v>
      </c>
      <c r="AD171" s="5">
        <v>2.4305555555555556E-2</v>
      </c>
      <c r="AE171" s="5">
        <v>0</v>
      </c>
      <c r="AF171" s="5">
        <v>3.6111111111111108E-2</v>
      </c>
      <c r="AG171" s="5">
        <v>4.8611111111111112E-3</v>
      </c>
      <c r="AH171" s="5">
        <v>6.9444444444444441E-3</v>
      </c>
      <c r="AI171" s="2"/>
      <c r="AJ171" s="1">
        <v>6</v>
      </c>
      <c r="AK171" s="1">
        <f t="shared" si="46"/>
        <v>31</v>
      </c>
      <c r="AL171" s="10">
        <v>6.9444444444444441E-3</v>
      </c>
      <c r="AM171" s="1">
        <f t="shared" si="34"/>
        <v>15</v>
      </c>
      <c r="AN171" s="13">
        <f t="shared" si="47"/>
        <v>0.4838709677419355</v>
      </c>
      <c r="AO171" s="14">
        <f t="shared" si="48"/>
        <v>0</v>
      </c>
      <c r="AP171" s="1" t="s">
        <v>203</v>
      </c>
      <c r="AQ171" s="1" t="str">
        <f t="shared" si="37"/>
        <v>GRECIA SANCHEZ</v>
      </c>
      <c r="AR171" s="1">
        <f t="shared" si="35"/>
        <v>16</v>
      </c>
      <c r="AS171" s="1" t="str">
        <f t="shared" si="36"/>
        <v>SANCHEZ PANAIFO</v>
      </c>
      <c r="AT171" s="1">
        <f t="shared" si="38"/>
        <v>8</v>
      </c>
      <c r="AU171" s="1" t="str">
        <f t="shared" si="39"/>
        <v>GRECIA DANNAE</v>
      </c>
      <c r="AV171" s="1">
        <f t="shared" si="40"/>
        <v>7</v>
      </c>
    </row>
    <row r="172" spans="1:48">
      <c r="A172" s="2" t="s">
        <v>68</v>
      </c>
      <c r="B172" s="2" t="s">
        <v>69</v>
      </c>
      <c r="C172" s="2" t="s">
        <v>70</v>
      </c>
      <c r="D172" s="5">
        <v>1.0416666666666666E-2</v>
      </c>
      <c r="E172" s="5">
        <v>0</v>
      </c>
      <c r="F172" s="5">
        <v>0</v>
      </c>
      <c r="G172" s="5">
        <v>2.0833333333333333E-3</v>
      </c>
      <c r="H172" s="5">
        <v>9.0277777777777769E-3</v>
      </c>
      <c r="I172" s="5">
        <v>9.0277777777777769E-3</v>
      </c>
      <c r="J172" s="5">
        <v>0</v>
      </c>
      <c r="K172" s="5">
        <v>6.9444444444444447E-4</v>
      </c>
      <c r="L172" s="5">
        <v>2.7777777777777779E-3</v>
      </c>
      <c r="M172" s="5">
        <v>2.1527777777777778E-2</v>
      </c>
      <c r="N172" s="5">
        <v>0</v>
      </c>
      <c r="O172" s="5">
        <v>2.7777777777777779E-3</v>
      </c>
      <c r="P172" s="5">
        <v>0</v>
      </c>
      <c r="Q172" s="5">
        <v>0</v>
      </c>
      <c r="R172" s="5">
        <v>4.8611111111111112E-3</v>
      </c>
      <c r="S172" s="5">
        <v>8.3333333333333332E-3</v>
      </c>
      <c r="T172" s="5">
        <v>2.7777777777777779E-3</v>
      </c>
      <c r="U172" s="5">
        <v>0</v>
      </c>
      <c r="V172" s="5">
        <v>2.7777777777777779E-3</v>
      </c>
      <c r="W172" s="5">
        <v>4.1666666666666666E-3</v>
      </c>
      <c r="X172" s="5">
        <v>0</v>
      </c>
      <c r="Y172" s="5">
        <v>1.1805555555555555E-2</v>
      </c>
      <c r="Z172" s="5">
        <v>2.0833333333333333E-3</v>
      </c>
      <c r="AA172" s="5">
        <v>1.1805555555555555E-2</v>
      </c>
      <c r="AB172" s="5">
        <v>2.7777777777777779E-3</v>
      </c>
      <c r="AC172" s="5">
        <v>1.1805555555555555E-2</v>
      </c>
      <c r="AD172" s="5">
        <v>2.0833333333333333E-3</v>
      </c>
      <c r="AE172" s="5">
        <v>0</v>
      </c>
      <c r="AF172" s="5">
        <v>5.5555555555555558E-3</v>
      </c>
      <c r="AG172" s="5">
        <v>1.5277777777777777E-2</v>
      </c>
      <c r="AH172" s="5">
        <v>6.2500000000000003E-3</v>
      </c>
      <c r="AI172" s="2"/>
      <c r="AJ172" s="1">
        <v>6</v>
      </c>
      <c r="AK172" s="1">
        <f t="shared" si="46"/>
        <v>31</v>
      </c>
      <c r="AL172" s="10">
        <v>6.9444444444444441E-3</v>
      </c>
      <c r="AM172" s="1">
        <f t="shared" si="34"/>
        <v>9</v>
      </c>
      <c r="AN172" s="13">
        <f t="shared" si="47"/>
        <v>0.29032258064516131</v>
      </c>
      <c r="AO172" s="14">
        <f t="shared" si="48"/>
        <v>0</v>
      </c>
      <c r="AP172" s="1" t="str">
        <f>VLOOKUP(B172,Hoja3!$A$1:$B$14,2,0)</f>
        <v>CESADO</v>
      </c>
      <c r="AQ172" s="1" t="str">
        <f t="shared" si="37"/>
        <v>DIANA CHAVEZ</v>
      </c>
      <c r="AR172" s="1">
        <f t="shared" si="35"/>
        <v>15</v>
      </c>
      <c r="AS172" s="1" t="str">
        <f t="shared" si="36"/>
        <v>CHAVEZ GUILLEN</v>
      </c>
      <c r="AT172" s="1">
        <f t="shared" si="38"/>
        <v>7</v>
      </c>
      <c r="AU172" s="1" t="str">
        <f t="shared" si="39"/>
        <v>DIANA CAROLINA</v>
      </c>
      <c r="AV172" s="1">
        <f t="shared" si="40"/>
        <v>6</v>
      </c>
    </row>
    <row r="173" spans="1:48">
      <c r="A173" s="2" t="s">
        <v>72</v>
      </c>
      <c r="B173" s="2" t="s">
        <v>73</v>
      </c>
      <c r="C173" s="2" t="s">
        <v>74</v>
      </c>
      <c r="D173" s="5">
        <v>0</v>
      </c>
      <c r="E173" s="5">
        <v>2.0833333333333333E-3</v>
      </c>
      <c r="F173" s="5">
        <v>7.6388888888888886E-3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6.9444444444444447E-4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1.3888888888888889E-3</v>
      </c>
      <c r="U173" s="5">
        <v>1.3888888888888889E-3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2.0833333333333333E-3</v>
      </c>
      <c r="AB173" s="5">
        <v>1.3888888888888889E-3</v>
      </c>
      <c r="AC173" s="5">
        <v>0</v>
      </c>
      <c r="AD173" s="5">
        <v>6.9444444444444447E-4</v>
      </c>
      <c r="AE173" s="5">
        <v>0</v>
      </c>
      <c r="AF173" s="5">
        <v>0</v>
      </c>
      <c r="AG173" s="5">
        <v>1.1805555555555555E-2</v>
      </c>
      <c r="AH173" s="5">
        <v>0</v>
      </c>
      <c r="AI173" s="2"/>
      <c r="AJ173" s="1">
        <v>6</v>
      </c>
      <c r="AK173" s="1">
        <f t="shared" si="46"/>
        <v>31</v>
      </c>
      <c r="AL173" s="10">
        <v>6.9444444444444441E-3</v>
      </c>
      <c r="AM173" s="1">
        <f t="shared" si="34"/>
        <v>2</v>
      </c>
      <c r="AN173" s="13">
        <f t="shared" si="47"/>
        <v>6.4516129032258063E-2</v>
      </c>
      <c r="AO173" s="14">
        <f t="shared" si="48"/>
        <v>0</v>
      </c>
      <c r="AP173" s="1" t="s">
        <v>203</v>
      </c>
      <c r="AQ173" s="1" t="str">
        <f t="shared" si="37"/>
        <v>JONATHAN URDAY</v>
      </c>
      <c r="AR173" s="1">
        <f t="shared" si="35"/>
        <v>13</v>
      </c>
      <c r="AS173" s="1" t="str">
        <f t="shared" si="36"/>
        <v>URDAY CHOQUE</v>
      </c>
      <c r="AT173" s="1">
        <f t="shared" si="38"/>
        <v>6</v>
      </c>
      <c r="AU173" s="1" t="str">
        <f t="shared" si="39"/>
        <v>JONATHAN EDGARD</v>
      </c>
      <c r="AV173" s="1">
        <f t="shared" si="40"/>
        <v>9</v>
      </c>
    </row>
    <row r="174" spans="1:48">
      <c r="A174" s="2" t="s">
        <v>121</v>
      </c>
      <c r="B174" s="2" t="s">
        <v>122</v>
      </c>
      <c r="C174" s="2" t="s">
        <v>123</v>
      </c>
      <c r="D174" s="5">
        <v>2.7777777777777779E-3</v>
      </c>
      <c r="E174" s="5">
        <v>0</v>
      </c>
      <c r="F174" s="5">
        <v>0</v>
      </c>
      <c r="G174" s="5">
        <v>2.0833333333333333E-3</v>
      </c>
      <c r="H174" s="5">
        <v>9.7222222222222224E-3</v>
      </c>
      <c r="I174" s="2" t="s">
        <v>49</v>
      </c>
      <c r="J174" s="5">
        <v>0</v>
      </c>
      <c r="K174" s="5">
        <v>0</v>
      </c>
      <c r="L174" s="5">
        <v>1.3194444444444444E-2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2"/>
      <c r="AJ174" s="1">
        <v>6</v>
      </c>
      <c r="AK174" s="1">
        <f t="shared" si="46"/>
        <v>31</v>
      </c>
      <c r="AL174" s="10">
        <v>6.9444444444444441E-3</v>
      </c>
      <c r="AM174" s="1">
        <f t="shared" si="34"/>
        <v>2</v>
      </c>
      <c r="AN174" s="13">
        <f t="shared" si="47"/>
        <v>6.4516129032258063E-2</v>
      </c>
      <c r="AO174" s="14">
        <f t="shared" si="48"/>
        <v>1</v>
      </c>
      <c r="AP174" s="1" t="str">
        <f>VLOOKUP(B174,Hoja3!$A$1:$B$14,2,0)</f>
        <v>CESADO</v>
      </c>
      <c r="AQ174" s="1" t="str">
        <f t="shared" si="37"/>
        <v>MARLENE PEREZ</v>
      </c>
      <c r="AR174" s="1">
        <f t="shared" si="35"/>
        <v>11</v>
      </c>
      <c r="AS174" s="1" t="str">
        <f t="shared" si="36"/>
        <v>PEREZ VERA</v>
      </c>
      <c r="AT174" s="1">
        <f t="shared" si="38"/>
        <v>6</v>
      </c>
      <c r="AU174" s="1" t="str">
        <f t="shared" si="39"/>
        <v>MARLENE BETTY</v>
      </c>
      <c r="AV174" s="1">
        <f t="shared" si="40"/>
        <v>8</v>
      </c>
    </row>
    <row r="175" spans="1:48">
      <c r="A175" s="2" t="s">
        <v>76</v>
      </c>
      <c r="B175" s="2" t="s">
        <v>77</v>
      </c>
      <c r="C175" s="2" t="s">
        <v>78</v>
      </c>
      <c r="D175" s="5">
        <v>1.2500000000000001E-2</v>
      </c>
      <c r="E175" s="5">
        <v>9.7222222222222224E-3</v>
      </c>
      <c r="F175" s="2" t="s">
        <v>124</v>
      </c>
      <c r="G175" s="5">
        <v>0</v>
      </c>
      <c r="H175" s="5">
        <v>4.1666666666666666E-3</v>
      </c>
      <c r="I175" s="5">
        <v>4.8611111111111112E-3</v>
      </c>
      <c r="J175" s="5">
        <v>0</v>
      </c>
      <c r="K175" s="2" t="s">
        <v>53</v>
      </c>
      <c r="L175" s="2" t="s">
        <v>115</v>
      </c>
      <c r="M175" s="2" t="s">
        <v>105</v>
      </c>
      <c r="N175" s="5">
        <v>3.7499999999999999E-2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1.9444444444444445E-2</v>
      </c>
      <c r="Z175" s="2" t="s">
        <v>125</v>
      </c>
      <c r="AA175" s="2" t="s">
        <v>50</v>
      </c>
      <c r="AB175" s="2" t="s">
        <v>47</v>
      </c>
      <c r="AC175" s="5">
        <v>1.3888888888888889E-3</v>
      </c>
      <c r="AD175" s="2" t="s">
        <v>67</v>
      </c>
      <c r="AE175" s="5">
        <v>0</v>
      </c>
      <c r="AF175" s="2" t="s">
        <v>126</v>
      </c>
      <c r="AG175" s="5">
        <v>7.6388888888888886E-3</v>
      </c>
      <c r="AH175" s="2" t="s">
        <v>49</v>
      </c>
      <c r="AI175" s="2"/>
      <c r="AJ175" s="1">
        <v>6</v>
      </c>
      <c r="AK175" s="1">
        <f t="shared" si="46"/>
        <v>31</v>
      </c>
      <c r="AL175" s="10">
        <v>6.9444444444444441E-3</v>
      </c>
      <c r="AM175" s="1">
        <f t="shared" si="34"/>
        <v>5</v>
      </c>
      <c r="AN175" s="13">
        <f t="shared" si="47"/>
        <v>0.16129032258064516</v>
      </c>
      <c r="AO175" s="14">
        <f t="shared" si="48"/>
        <v>1</v>
      </c>
      <c r="AP175" s="1" t="str">
        <f>VLOOKUP(B175,Hoja3!$A$1:$B$14,2,0)</f>
        <v>CESADO</v>
      </c>
      <c r="AQ175" s="1" t="str">
        <f t="shared" si="37"/>
        <v>YAEL ALARCON</v>
      </c>
      <c r="AR175" s="1">
        <f t="shared" si="35"/>
        <v>18</v>
      </c>
      <c r="AS175" s="1" t="str">
        <f t="shared" si="36"/>
        <v>ALARCON MONTALVAN</v>
      </c>
      <c r="AT175" s="1">
        <f t="shared" si="38"/>
        <v>8</v>
      </c>
      <c r="AU175" s="1" t="str">
        <f t="shared" si="39"/>
        <v>YAEL ASHLEY</v>
      </c>
      <c r="AV175" s="1">
        <f t="shared" si="40"/>
        <v>5</v>
      </c>
    </row>
    <row r="176" spans="1:48">
      <c r="A176" s="2" t="s">
        <v>81</v>
      </c>
      <c r="B176" s="2" t="s">
        <v>82</v>
      </c>
      <c r="C176" s="2" t="s">
        <v>83</v>
      </c>
      <c r="D176" s="5">
        <v>0</v>
      </c>
      <c r="E176" s="5">
        <v>9.7222222222222224E-3</v>
      </c>
      <c r="F176" s="5">
        <v>1.3888888888888889E-3</v>
      </c>
      <c r="G176" s="5">
        <v>1.2500000000000001E-2</v>
      </c>
      <c r="H176" s="5">
        <v>4.1666666666666666E-3</v>
      </c>
      <c r="I176" s="5">
        <v>4.1666666666666666E-3</v>
      </c>
      <c r="J176" s="5">
        <v>0</v>
      </c>
      <c r="K176" s="5">
        <v>4.1666666666666666E-3</v>
      </c>
      <c r="L176" s="5">
        <v>5.5555555555555558E-3</v>
      </c>
      <c r="M176" s="5">
        <v>6.9444444444444447E-4</v>
      </c>
      <c r="N176" s="5">
        <v>8.3333333333333332E-3</v>
      </c>
      <c r="O176" s="5">
        <v>8.3333333333333332E-3</v>
      </c>
      <c r="P176" s="5">
        <v>0</v>
      </c>
      <c r="Q176" s="5">
        <v>0</v>
      </c>
      <c r="R176" s="5">
        <v>2.013888888888889E-2</v>
      </c>
      <c r="S176" s="5">
        <v>1.3888888888888888E-2</v>
      </c>
      <c r="T176" s="5">
        <v>1.3888888888888889E-3</v>
      </c>
      <c r="U176" s="5">
        <v>2.013888888888889E-2</v>
      </c>
      <c r="V176" s="5">
        <v>8.3333333333333332E-3</v>
      </c>
      <c r="W176" s="5">
        <v>3.472222222222222E-3</v>
      </c>
      <c r="X176" s="5">
        <v>0</v>
      </c>
      <c r="Y176" s="2" t="s">
        <v>127</v>
      </c>
      <c r="Z176" s="5">
        <v>1.6666666666666666E-2</v>
      </c>
      <c r="AA176" s="5">
        <v>0</v>
      </c>
      <c r="AB176" s="5">
        <v>1.6666666666666666E-2</v>
      </c>
      <c r="AC176" s="5">
        <v>5.5555555555555558E-3</v>
      </c>
      <c r="AD176" s="5">
        <v>5.5555555555555558E-3</v>
      </c>
      <c r="AE176" s="5">
        <v>0</v>
      </c>
      <c r="AF176" s="5">
        <v>2.0833333333333333E-3</v>
      </c>
      <c r="AG176" s="5">
        <v>6.9444444444444447E-4</v>
      </c>
      <c r="AH176" s="5">
        <v>4.1666666666666666E-3</v>
      </c>
      <c r="AI176" s="2"/>
      <c r="AJ176" s="1">
        <v>6</v>
      </c>
      <c r="AK176" s="1">
        <f t="shared" si="46"/>
        <v>31</v>
      </c>
      <c r="AL176" s="10">
        <v>6.9444444444444441E-3</v>
      </c>
      <c r="AM176" s="1">
        <f t="shared" si="34"/>
        <v>10</v>
      </c>
      <c r="AN176" s="13">
        <f t="shared" si="47"/>
        <v>0.32258064516129031</v>
      </c>
      <c r="AO176" s="14">
        <f t="shared" si="48"/>
        <v>0</v>
      </c>
      <c r="AP176" s="1" t="s">
        <v>203</v>
      </c>
      <c r="AQ176" s="1" t="str">
        <f t="shared" si="37"/>
        <v>JORGE CORDOVA</v>
      </c>
      <c r="AR176" s="1">
        <f t="shared" si="35"/>
        <v>17</v>
      </c>
      <c r="AS176" s="1" t="str">
        <f t="shared" si="36"/>
        <v>CORDOVA ZEVALLOS</v>
      </c>
      <c r="AT176" s="1">
        <f t="shared" si="38"/>
        <v>8</v>
      </c>
      <c r="AU176" s="1" t="str">
        <f t="shared" si="39"/>
        <v>JORGE ENRIQUE</v>
      </c>
      <c r="AV176" s="1">
        <f t="shared" si="40"/>
        <v>6</v>
      </c>
    </row>
    <row r="177" spans="1:48">
      <c r="A177" s="2" t="s">
        <v>84</v>
      </c>
      <c r="B177" s="2" t="s">
        <v>85</v>
      </c>
      <c r="C177" s="2" t="s">
        <v>86</v>
      </c>
      <c r="D177" s="5">
        <v>0</v>
      </c>
      <c r="E177" s="5">
        <v>2.0833333333333333E-3</v>
      </c>
      <c r="F177" s="5">
        <v>6.9444444444444447E-4</v>
      </c>
      <c r="G177" s="5">
        <v>4.1666666666666666E-3</v>
      </c>
      <c r="H177" s="5">
        <v>6.9444444444444441E-3</v>
      </c>
      <c r="I177" s="5">
        <v>1.2500000000000001E-2</v>
      </c>
      <c r="J177" s="5">
        <v>0</v>
      </c>
      <c r="K177" s="5">
        <v>7.6388888888888886E-3</v>
      </c>
      <c r="L177" s="5">
        <v>3.472222222222222E-3</v>
      </c>
      <c r="M177" s="5">
        <v>3.472222222222222E-3</v>
      </c>
      <c r="N177" s="5">
        <v>6.9444444444444441E-3</v>
      </c>
      <c r="O177" s="5">
        <v>8.3333333333333332E-3</v>
      </c>
      <c r="P177" s="5">
        <v>0</v>
      </c>
      <c r="Q177" s="5">
        <v>0</v>
      </c>
      <c r="R177" s="5">
        <v>7.6388888888888886E-3</v>
      </c>
      <c r="S177" s="5">
        <v>1.5277777777777777E-2</v>
      </c>
      <c r="T177" s="5">
        <v>1.1805555555555555E-2</v>
      </c>
      <c r="U177" s="5">
        <v>8.3333333333333332E-3</v>
      </c>
      <c r="V177" s="5">
        <v>1.1111111111111112E-2</v>
      </c>
      <c r="W177" s="5">
        <v>3.472222222222222E-3</v>
      </c>
      <c r="X177" s="5">
        <v>0</v>
      </c>
      <c r="Y177" s="5">
        <v>1.8749999999999999E-2</v>
      </c>
      <c r="Z177" s="5">
        <v>1.2500000000000001E-2</v>
      </c>
      <c r="AA177" s="5">
        <v>1.7361111111111112E-2</v>
      </c>
      <c r="AB177" s="5">
        <v>1.8749999999999999E-2</v>
      </c>
      <c r="AC177" s="5">
        <v>6.2500000000000003E-3</v>
      </c>
      <c r="AD177" s="5">
        <v>6.2500000000000003E-3</v>
      </c>
      <c r="AE177" s="5">
        <v>0</v>
      </c>
      <c r="AF177" s="5">
        <v>4.1666666666666666E-3</v>
      </c>
      <c r="AG177" s="5">
        <v>1.5972222222222221E-2</v>
      </c>
      <c r="AH177" s="5">
        <v>4.1666666666666666E-3</v>
      </c>
      <c r="AI177" s="2"/>
      <c r="AJ177" s="1">
        <v>6</v>
      </c>
      <c r="AK177" s="1">
        <f t="shared" si="46"/>
        <v>31</v>
      </c>
      <c r="AL177" s="10">
        <v>6.9444444444444441E-3</v>
      </c>
      <c r="AM177" s="1">
        <f t="shared" si="34"/>
        <v>13</v>
      </c>
      <c r="AN177" s="13">
        <f t="shared" si="47"/>
        <v>0.41935483870967744</v>
      </c>
      <c r="AO177" s="14">
        <f t="shared" si="48"/>
        <v>0</v>
      </c>
      <c r="AP177" s="1" t="s">
        <v>203</v>
      </c>
      <c r="AQ177" s="1" t="str">
        <f t="shared" si="37"/>
        <v>OSCAR PARIAPAZA</v>
      </c>
      <c r="AR177" s="1">
        <f t="shared" si="35"/>
        <v>21</v>
      </c>
      <c r="AS177" s="1" t="str">
        <f t="shared" si="36"/>
        <v>PARIAPAZA DE LA CRUZ</v>
      </c>
      <c r="AT177" s="1">
        <f t="shared" si="38"/>
        <v>10</v>
      </c>
      <c r="AU177" s="1" t="str">
        <f t="shared" si="39"/>
        <v>OSCAR ANTONIO</v>
      </c>
      <c r="AV177" s="1">
        <f t="shared" si="40"/>
        <v>6</v>
      </c>
    </row>
    <row r="178" spans="1:48">
      <c r="A178" s="2" t="s">
        <v>87</v>
      </c>
      <c r="B178" s="2" t="s">
        <v>88</v>
      </c>
      <c r="C178" s="2" t="s">
        <v>89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6.9444444444444447E-4</v>
      </c>
      <c r="T178" s="5">
        <v>6.2500000000000003E-3</v>
      </c>
      <c r="U178" s="5">
        <v>8.3333333333333332E-3</v>
      </c>
      <c r="V178" s="5">
        <v>2.0833333333333333E-3</v>
      </c>
      <c r="W178" s="5">
        <v>4.1666666666666666E-3</v>
      </c>
      <c r="X178" s="5">
        <v>0</v>
      </c>
      <c r="Y178" s="5">
        <v>4.8611111111111112E-3</v>
      </c>
      <c r="Z178" s="5">
        <v>4.1666666666666666E-3</v>
      </c>
      <c r="AA178" s="5">
        <v>4.1666666666666666E-3</v>
      </c>
      <c r="AB178" s="5">
        <v>8.3333333333333332E-3</v>
      </c>
      <c r="AC178" s="5">
        <v>1.7361111111111112E-2</v>
      </c>
      <c r="AD178" s="5">
        <v>5.5555555555555558E-3</v>
      </c>
      <c r="AE178" s="5">
        <v>0</v>
      </c>
      <c r="AF178" s="5">
        <v>0</v>
      </c>
      <c r="AG178" s="5">
        <v>0</v>
      </c>
      <c r="AH178" s="5">
        <v>0</v>
      </c>
      <c r="AI178" s="2"/>
      <c r="AJ178" s="1">
        <v>6</v>
      </c>
      <c r="AK178" s="1">
        <f t="shared" si="46"/>
        <v>31</v>
      </c>
      <c r="AL178" s="10">
        <v>6.9444444444444441E-3</v>
      </c>
      <c r="AM178" s="1">
        <f t="shared" si="34"/>
        <v>3</v>
      </c>
      <c r="AN178" s="13">
        <f t="shared" si="47"/>
        <v>9.6774193548387094E-2</v>
      </c>
      <c r="AO178" s="14">
        <f t="shared" si="48"/>
        <v>0</v>
      </c>
      <c r="AP178" s="1" t="s">
        <v>203</v>
      </c>
      <c r="AQ178" s="1" t="str">
        <f t="shared" si="37"/>
        <v>ALEXANDER LUJAN</v>
      </c>
      <c r="AR178" s="1">
        <f t="shared" si="35"/>
        <v>17</v>
      </c>
      <c r="AS178" s="1" t="str">
        <f t="shared" si="36"/>
        <v>LUJAN VILCAÑAUPA</v>
      </c>
      <c r="AT178" s="1">
        <f t="shared" si="38"/>
        <v>6</v>
      </c>
      <c r="AU178" s="1" t="str">
        <f t="shared" si="39"/>
        <v>ALEXANDER MATIAS</v>
      </c>
      <c r="AV178" s="1">
        <f t="shared" si="40"/>
        <v>10</v>
      </c>
    </row>
    <row r="179" spans="1:48">
      <c r="A179" s="2" t="s">
        <v>90</v>
      </c>
      <c r="B179" s="2" t="s">
        <v>91</v>
      </c>
      <c r="C179" s="2" t="s">
        <v>92</v>
      </c>
      <c r="D179" s="5">
        <v>5.5555555555555558E-3</v>
      </c>
      <c r="E179" s="5">
        <v>1.3194444444444444E-2</v>
      </c>
      <c r="F179" s="5">
        <v>4.8611111111111112E-3</v>
      </c>
      <c r="G179" s="5">
        <v>9.7222222222222224E-3</v>
      </c>
      <c r="H179" s="5">
        <v>3.472222222222222E-3</v>
      </c>
      <c r="I179" s="5">
        <v>8.3333333333333332E-3</v>
      </c>
      <c r="J179" s="5">
        <v>0</v>
      </c>
      <c r="K179" s="5">
        <v>6.2500000000000003E-3</v>
      </c>
      <c r="L179" s="5">
        <v>9.0277777777777769E-3</v>
      </c>
      <c r="M179" s="5">
        <v>4.8611111111111112E-3</v>
      </c>
      <c r="N179" s="5">
        <v>1.1111111111111112E-2</v>
      </c>
      <c r="O179" s="5">
        <v>4.1666666666666666E-3</v>
      </c>
      <c r="P179" s="5">
        <v>0</v>
      </c>
      <c r="Q179" s="5">
        <v>0</v>
      </c>
      <c r="R179" s="5">
        <v>0</v>
      </c>
      <c r="S179" s="5">
        <v>8.3333333333333332E-3</v>
      </c>
      <c r="T179" s="5">
        <v>0</v>
      </c>
      <c r="U179" s="5">
        <v>0</v>
      </c>
      <c r="V179" s="5">
        <v>7.6388888888888886E-3</v>
      </c>
      <c r="W179" s="5">
        <v>1.9444444444444445E-2</v>
      </c>
      <c r="X179" s="5">
        <v>0</v>
      </c>
      <c r="Y179" s="5">
        <v>2.4305555555555556E-2</v>
      </c>
      <c r="Z179" s="5">
        <v>1.3194444444444444E-2</v>
      </c>
      <c r="AA179" s="5">
        <v>2.2916666666666665E-2</v>
      </c>
      <c r="AB179" s="5">
        <v>1.3888888888888888E-2</v>
      </c>
      <c r="AC179" s="5">
        <v>1.3888888888888888E-2</v>
      </c>
      <c r="AD179" s="5">
        <v>1.1805555555555555E-2</v>
      </c>
      <c r="AE179" s="5">
        <v>0</v>
      </c>
      <c r="AF179" s="5">
        <v>9.7222222222222224E-3</v>
      </c>
      <c r="AG179" s="5">
        <v>6.9444444444444447E-4</v>
      </c>
      <c r="AH179" s="5">
        <v>0</v>
      </c>
      <c r="AI179" s="2"/>
      <c r="AJ179" s="1">
        <v>6</v>
      </c>
      <c r="AK179" s="1">
        <f t="shared" si="46"/>
        <v>31</v>
      </c>
      <c r="AL179" s="10">
        <v>6.9444444444444441E-3</v>
      </c>
      <c r="AM179" s="1">
        <f t="shared" si="34"/>
        <v>15</v>
      </c>
      <c r="AN179" s="13">
        <f t="shared" si="47"/>
        <v>0.4838709677419355</v>
      </c>
      <c r="AO179" s="14">
        <f t="shared" si="48"/>
        <v>0</v>
      </c>
      <c r="AP179" s="1" t="s">
        <v>203</v>
      </c>
      <c r="AQ179" s="1" t="str">
        <f t="shared" si="37"/>
        <v>LEONEL LAURA</v>
      </c>
      <c r="AR179" s="1">
        <f t="shared" si="35"/>
        <v>12</v>
      </c>
      <c r="AS179" s="1" t="str">
        <f t="shared" si="36"/>
        <v>LAURA APAZA</v>
      </c>
      <c r="AT179" s="1">
        <f t="shared" si="38"/>
        <v>6</v>
      </c>
      <c r="AU179" s="1" t="str">
        <f t="shared" si="39"/>
        <v>LEONEL ALEX</v>
      </c>
      <c r="AV179" s="1">
        <f t="shared" si="40"/>
        <v>7</v>
      </c>
    </row>
    <row r="180" spans="1:48">
      <c r="A180" s="2" t="s">
        <v>93</v>
      </c>
      <c r="B180" s="2" t="s">
        <v>94</v>
      </c>
      <c r="C180" s="2" t="s">
        <v>95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2.0833333333333333E-3</v>
      </c>
      <c r="AC180" s="5">
        <v>0</v>
      </c>
      <c r="AD180" s="5">
        <v>5.5555555555555558E-3</v>
      </c>
      <c r="AE180" s="5">
        <v>0</v>
      </c>
      <c r="AF180" s="5">
        <v>2.0833333333333333E-3</v>
      </c>
      <c r="AG180" s="5">
        <v>6.9444444444444447E-4</v>
      </c>
      <c r="AH180" s="5">
        <v>2.0833333333333333E-3</v>
      </c>
      <c r="AI180" s="2"/>
      <c r="AJ180" s="1">
        <v>6</v>
      </c>
      <c r="AK180" s="1">
        <f t="shared" si="46"/>
        <v>31</v>
      </c>
      <c r="AL180" s="10">
        <v>6.9444444444444441E-3</v>
      </c>
      <c r="AM180" s="1">
        <f t="shared" si="34"/>
        <v>0</v>
      </c>
      <c r="AN180" s="13">
        <f t="shared" si="47"/>
        <v>0</v>
      </c>
      <c r="AO180" s="14">
        <f t="shared" si="48"/>
        <v>0</v>
      </c>
      <c r="AP180" s="1" t="s">
        <v>203</v>
      </c>
      <c r="AQ180" s="1" t="str">
        <f t="shared" si="37"/>
        <v>DARWIN LAURA</v>
      </c>
      <c r="AR180" s="1">
        <f t="shared" si="35"/>
        <v>14</v>
      </c>
      <c r="AS180" s="1" t="str">
        <f t="shared" si="36"/>
        <v>LAURA VICENTE</v>
      </c>
      <c r="AT180" s="1">
        <f t="shared" si="38"/>
        <v>6</v>
      </c>
      <c r="AU180" s="1" t="str">
        <f t="shared" si="39"/>
        <v>DARWIN FERNANDO</v>
      </c>
      <c r="AV180" s="1">
        <f t="shared" si="40"/>
        <v>7</v>
      </c>
    </row>
    <row r="181" spans="1:48">
      <c r="A181" s="2" t="s">
        <v>96</v>
      </c>
      <c r="B181" s="2" t="s">
        <v>97</v>
      </c>
      <c r="C181" s="2" t="s">
        <v>98</v>
      </c>
      <c r="D181" s="5">
        <v>1.3888888888888889E-3</v>
      </c>
      <c r="E181" s="5">
        <v>8.3333333333333332E-3</v>
      </c>
      <c r="F181" s="5">
        <v>7.6388888888888886E-3</v>
      </c>
      <c r="G181" s="5">
        <v>9.0277777777777769E-3</v>
      </c>
      <c r="H181" s="5">
        <v>8.3333333333333332E-3</v>
      </c>
      <c r="I181" s="5">
        <v>6.2500000000000003E-3</v>
      </c>
      <c r="J181" s="5">
        <v>0</v>
      </c>
      <c r="K181" s="5">
        <v>0</v>
      </c>
      <c r="L181" s="5">
        <v>6.9444444444444441E-3</v>
      </c>
      <c r="M181" s="5">
        <v>6.9444444444444441E-3</v>
      </c>
      <c r="N181" s="5">
        <v>5.5555555555555558E-3</v>
      </c>
      <c r="O181" s="5">
        <v>2.7777777777777779E-3</v>
      </c>
      <c r="P181" s="5">
        <v>0</v>
      </c>
      <c r="Q181" s="5">
        <v>0</v>
      </c>
      <c r="R181" s="5">
        <v>4.1666666666666666E-3</v>
      </c>
      <c r="S181" s="5">
        <v>1.3888888888888889E-3</v>
      </c>
      <c r="T181" s="5">
        <v>0</v>
      </c>
      <c r="U181" s="5">
        <v>2.7777777777777779E-3</v>
      </c>
      <c r="V181" s="5">
        <v>7.6388888888888886E-3</v>
      </c>
      <c r="W181" s="5">
        <v>1.3194444444444444E-2</v>
      </c>
      <c r="X181" s="5">
        <v>0</v>
      </c>
      <c r="Y181" s="5">
        <v>1.6666666666666666E-2</v>
      </c>
      <c r="Z181" s="5">
        <v>3.472222222222222E-3</v>
      </c>
      <c r="AA181" s="5">
        <v>6.9444444444444441E-3</v>
      </c>
      <c r="AB181" s="5">
        <v>3.472222222222222E-3</v>
      </c>
      <c r="AC181" s="5">
        <v>4.1666666666666666E-3</v>
      </c>
      <c r="AD181" s="5">
        <v>7.6388888888888886E-3</v>
      </c>
      <c r="AE181" s="5">
        <v>0</v>
      </c>
      <c r="AF181" s="5">
        <v>4.8611111111111112E-3</v>
      </c>
      <c r="AG181" s="5">
        <v>9.7222222222222224E-3</v>
      </c>
      <c r="AH181" s="5">
        <v>6.9444444444444441E-3</v>
      </c>
      <c r="AI181" s="2"/>
      <c r="AJ181" s="1">
        <v>6</v>
      </c>
      <c r="AK181" s="1">
        <f t="shared" si="46"/>
        <v>31</v>
      </c>
      <c r="AL181" s="10">
        <v>6.9444444444444441E-3</v>
      </c>
      <c r="AM181" s="1">
        <f t="shared" si="34"/>
        <v>9</v>
      </c>
      <c r="AN181" s="13">
        <f t="shared" si="47"/>
        <v>0.29032258064516131</v>
      </c>
      <c r="AO181" s="14">
        <f t="shared" si="48"/>
        <v>0</v>
      </c>
      <c r="AP181" s="1" t="s">
        <v>203</v>
      </c>
      <c r="AQ181" s="1" t="str">
        <f t="shared" si="37"/>
        <v>IMANOL HANCCO</v>
      </c>
      <c r="AR181" s="1">
        <f t="shared" si="35"/>
        <v>12</v>
      </c>
      <c r="AS181" s="1" t="str">
        <f t="shared" si="36"/>
        <v>HANCCO RIOS</v>
      </c>
      <c r="AT181" s="1">
        <f t="shared" si="38"/>
        <v>7</v>
      </c>
      <c r="AU181" s="1" t="str">
        <f t="shared" si="39"/>
        <v>IMANOL HARVI</v>
      </c>
      <c r="AV181" s="1">
        <f t="shared" si="40"/>
        <v>7</v>
      </c>
    </row>
    <row r="182" spans="1:48">
      <c r="A182" s="2" t="s">
        <v>99</v>
      </c>
      <c r="B182" s="2" t="s">
        <v>100</v>
      </c>
      <c r="C182" s="2" t="s">
        <v>101</v>
      </c>
      <c r="D182" s="5">
        <v>8.3333333333333332E-3</v>
      </c>
      <c r="E182" s="5">
        <v>6.9444444444444447E-4</v>
      </c>
      <c r="F182" s="5">
        <v>1.3888888888888889E-3</v>
      </c>
      <c r="G182" s="5">
        <v>6.9444444444444447E-4</v>
      </c>
      <c r="H182" s="5">
        <v>1.3888888888888889E-3</v>
      </c>
      <c r="I182" s="5">
        <v>1.3194444444444444E-2</v>
      </c>
      <c r="J182" s="5">
        <v>0</v>
      </c>
      <c r="K182" s="5">
        <v>0</v>
      </c>
      <c r="L182" s="5">
        <v>3.472222222222222E-3</v>
      </c>
      <c r="M182" s="5">
        <v>1.5277777777777777E-2</v>
      </c>
      <c r="N182" s="5">
        <v>0</v>
      </c>
      <c r="O182" s="5">
        <v>2.0833333333333333E-3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3.472222222222222E-3</v>
      </c>
      <c r="X182" s="5">
        <v>0</v>
      </c>
      <c r="Y182" s="5">
        <v>0</v>
      </c>
      <c r="Z182" s="5">
        <v>1.1111111111111112E-2</v>
      </c>
      <c r="AA182" s="5">
        <v>0</v>
      </c>
      <c r="AB182" s="5">
        <v>1.6666666666666666E-2</v>
      </c>
      <c r="AC182" s="5">
        <v>1.0416666666666666E-2</v>
      </c>
      <c r="AD182" s="5">
        <v>6.2500000000000003E-3</v>
      </c>
      <c r="AE182" s="5">
        <v>0</v>
      </c>
      <c r="AF182" s="5">
        <v>1.3888888888888889E-3</v>
      </c>
      <c r="AG182" s="5">
        <v>6.9444444444444447E-4</v>
      </c>
      <c r="AH182" s="5">
        <v>0</v>
      </c>
      <c r="AI182" s="2"/>
      <c r="AJ182" s="1">
        <v>6</v>
      </c>
      <c r="AK182" s="1">
        <f t="shared" si="46"/>
        <v>31</v>
      </c>
      <c r="AL182" s="10">
        <v>6.9444444444444441E-3</v>
      </c>
      <c r="AM182" s="1">
        <f t="shared" si="34"/>
        <v>6</v>
      </c>
      <c r="AN182" s="13">
        <f t="shared" si="47"/>
        <v>0.19354838709677419</v>
      </c>
      <c r="AO182" s="14">
        <f t="shared" si="48"/>
        <v>0</v>
      </c>
      <c r="AP182" s="1" t="s">
        <v>203</v>
      </c>
      <c r="AQ182" s="1" t="str">
        <f t="shared" si="37"/>
        <v>STEFANO BORDA</v>
      </c>
      <c r="AR182" s="1">
        <f t="shared" si="35"/>
        <v>13</v>
      </c>
      <c r="AS182" s="1" t="str">
        <f t="shared" si="36"/>
        <v>BORDA BURGOS</v>
      </c>
      <c r="AT182" s="1">
        <f t="shared" si="38"/>
        <v>6</v>
      </c>
      <c r="AU182" s="1" t="str">
        <f t="shared" si="39"/>
        <v>STEFANO PAOLO</v>
      </c>
      <c r="AV182" s="1">
        <f t="shared" si="40"/>
        <v>8</v>
      </c>
    </row>
    <row r="183" spans="1:48">
      <c r="A183" s="2" t="s">
        <v>3</v>
      </c>
      <c r="B183" s="2" t="s">
        <v>4</v>
      </c>
      <c r="C183" s="2" t="s">
        <v>5</v>
      </c>
      <c r="D183" s="5">
        <v>1.6666666666666666E-2</v>
      </c>
      <c r="E183" s="5">
        <v>2.0833333333333332E-2</v>
      </c>
      <c r="F183" s="5">
        <v>4.1666666666666666E-3</v>
      </c>
      <c r="G183" s="5">
        <v>0</v>
      </c>
      <c r="H183" s="5">
        <v>2.8472222222222222E-2</v>
      </c>
      <c r="I183" s="5">
        <v>3.4027777777777775E-2</v>
      </c>
      <c r="J183" s="5">
        <v>1.5277777777777777E-2</v>
      </c>
      <c r="K183" s="5">
        <v>1.0416666666666666E-2</v>
      </c>
      <c r="L183" s="5">
        <v>1.0416666666666666E-2</v>
      </c>
      <c r="M183" s="5">
        <v>1.7361111111111112E-2</v>
      </c>
      <c r="N183" s="5">
        <v>0</v>
      </c>
      <c r="O183" s="5">
        <v>0</v>
      </c>
      <c r="P183" s="2" t="s">
        <v>7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2.0833333333333332E-2</v>
      </c>
      <c r="W183" s="5">
        <v>1.6666666666666666E-2</v>
      </c>
      <c r="X183" s="5">
        <v>6.9444444444444441E-3</v>
      </c>
      <c r="Y183" s="5">
        <v>2.0833333333333332E-2</v>
      </c>
      <c r="Z183" s="5">
        <v>1.6666666666666666E-2</v>
      </c>
      <c r="AA183" s="5">
        <v>0</v>
      </c>
      <c r="AB183" s="5">
        <v>0</v>
      </c>
      <c r="AC183" s="5">
        <v>0</v>
      </c>
      <c r="AD183" s="5">
        <v>1.8055555555555554E-2</v>
      </c>
      <c r="AE183" s="5">
        <v>0</v>
      </c>
      <c r="AF183" s="5">
        <v>2.0833333333333332E-2</v>
      </c>
      <c r="AJ183" s="1">
        <v>7</v>
      </c>
      <c r="AK183" s="1">
        <f t="shared" si="46"/>
        <v>29</v>
      </c>
      <c r="AL183" s="10">
        <v>6.9444444444444441E-3</v>
      </c>
      <c r="AM183" s="1">
        <f t="shared" si="34"/>
        <v>14</v>
      </c>
      <c r="AN183" s="13">
        <f t="shared" si="47"/>
        <v>0.48275862068965519</v>
      </c>
      <c r="AO183" s="14">
        <f t="shared" si="48"/>
        <v>0</v>
      </c>
      <c r="AP183" s="1" t="s">
        <v>203</v>
      </c>
      <c r="AQ183" s="1" t="str">
        <f t="shared" si="37"/>
        <v>ROCIO CACERES</v>
      </c>
      <c r="AR183" s="1">
        <f t="shared" si="35"/>
        <v>16</v>
      </c>
      <c r="AS183" s="1" t="str">
        <f t="shared" si="36"/>
        <v>CACERES CORDOVA</v>
      </c>
      <c r="AT183" s="1">
        <f t="shared" si="38"/>
        <v>8</v>
      </c>
      <c r="AU183" s="1" t="str">
        <f t="shared" si="39"/>
        <v>ROCIO SANDRA</v>
      </c>
      <c r="AV183" s="1">
        <f t="shared" si="40"/>
        <v>6</v>
      </c>
    </row>
    <row r="184" spans="1:48">
      <c r="A184" s="2" t="s">
        <v>8</v>
      </c>
      <c r="B184" s="2" t="s">
        <v>9</v>
      </c>
      <c r="C184" s="2" t="s">
        <v>10</v>
      </c>
      <c r="D184" s="5">
        <v>3.9583333333333331E-2</v>
      </c>
      <c r="E184" s="5">
        <v>3.125E-2</v>
      </c>
      <c r="F184" s="5">
        <v>6.2500000000000003E-3</v>
      </c>
      <c r="G184" s="5">
        <v>0</v>
      </c>
      <c r="H184" s="5">
        <v>1.8749999999999999E-2</v>
      </c>
      <c r="I184" s="5">
        <v>1.3888888888888889E-3</v>
      </c>
      <c r="J184" s="5">
        <v>2.4305555555555556E-2</v>
      </c>
      <c r="K184" s="5">
        <v>2.0833333333333332E-2</v>
      </c>
      <c r="L184" s="5">
        <v>6.9444444444444447E-4</v>
      </c>
      <c r="M184" s="5">
        <v>0</v>
      </c>
      <c r="N184" s="5">
        <v>0</v>
      </c>
      <c r="O184" s="5">
        <v>3.125E-2</v>
      </c>
      <c r="P184" s="5">
        <v>2.2222222222222223E-2</v>
      </c>
      <c r="Q184" s="5">
        <v>2.5000000000000001E-2</v>
      </c>
      <c r="R184" s="5">
        <v>0</v>
      </c>
      <c r="S184" s="5">
        <v>3.472222222222222E-3</v>
      </c>
      <c r="T184" s="5">
        <v>4.8611111111111112E-3</v>
      </c>
      <c r="U184" s="5">
        <v>0</v>
      </c>
      <c r="V184" s="5">
        <v>1.6666666666666666E-2</v>
      </c>
      <c r="W184" s="5">
        <v>0</v>
      </c>
      <c r="X184" s="5">
        <v>1.3888888888888888E-2</v>
      </c>
      <c r="Y184" s="5">
        <v>2.7777777777777779E-3</v>
      </c>
      <c r="Z184" s="5">
        <v>5.5555555555555558E-3</v>
      </c>
      <c r="AA184" s="5">
        <v>0</v>
      </c>
      <c r="AB184" s="5">
        <v>0</v>
      </c>
      <c r="AC184" s="5">
        <v>2.013888888888889E-2</v>
      </c>
      <c r="AD184" s="5">
        <v>6.9444444444444447E-4</v>
      </c>
      <c r="AE184" s="5">
        <v>0</v>
      </c>
      <c r="AF184" s="5">
        <v>3.472222222222222E-3</v>
      </c>
      <c r="AJ184" s="1">
        <v>7</v>
      </c>
      <c r="AK184" s="1">
        <f t="shared" si="46"/>
        <v>29</v>
      </c>
      <c r="AL184" s="10">
        <v>6.9444444444444441E-3</v>
      </c>
      <c r="AM184" s="1">
        <f t="shared" si="34"/>
        <v>11</v>
      </c>
      <c r="AN184" s="13">
        <f t="shared" si="47"/>
        <v>0.37931034482758619</v>
      </c>
      <c r="AO184" s="14">
        <f t="shared" si="48"/>
        <v>0</v>
      </c>
      <c r="AP184" s="1" t="s">
        <v>203</v>
      </c>
      <c r="AQ184" s="1" t="str">
        <f t="shared" si="37"/>
        <v>LOURDES LLANOS</v>
      </c>
      <c r="AR184" s="1">
        <f t="shared" si="35"/>
        <v>13</v>
      </c>
      <c r="AS184" s="1" t="str">
        <f t="shared" si="36"/>
        <v>LLANOS YAURI</v>
      </c>
      <c r="AT184" s="1">
        <f t="shared" si="38"/>
        <v>7</v>
      </c>
      <c r="AU184" s="1" t="str">
        <f t="shared" si="39"/>
        <v>LOURDES LUCIA</v>
      </c>
      <c r="AV184" s="1">
        <f t="shared" si="40"/>
        <v>8</v>
      </c>
    </row>
    <row r="185" spans="1:48">
      <c r="A185" s="2" t="s">
        <v>11</v>
      </c>
      <c r="B185" s="2" t="s">
        <v>12</v>
      </c>
      <c r="C185" s="2" t="s">
        <v>13</v>
      </c>
      <c r="D185" s="5">
        <v>4.1666666666666666E-3</v>
      </c>
      <c r="E185" s="5">
        <v>9.7222222222222224E-3</v>
      </c>
      <c r="F185" s="5">
        <v>5.5555555555555558E-3</v>
      </c>
      <c r="G185" s="5">
        <v>0</v>
      </c>
      <c r="H185" s="5">
        <v>2.2916666666666665E-2</v>
      </c>
      <c r="I185" s="5">
        <v>2.0833333333333333E-3</v>
      </c>
      <c r="J185" s="5">
        <v>1.2500000000000001E-2</v>
      </c>
      <c r="K185" s="5">
        <v>6.9444444444444441E-3</v>
      </c>
      <c r="L185" s="5">
        <v>1.3888888888888889E-3</v>
      </c>
      <c r="M185" s="5">
        <v>6.9444444444444441E-3</v>
      </c>
      <c r="N185" s="5">
        <v>0</v>
      </c>
      <c r="O185" s="5">
        <v>1.9444444444444445E-2</v>
      </c>
      <c r="P185" s="5">
        <v>1.1111111111111112E-2</v>
      </c>
      <c r="Q185" s="5">
        <v>2.7777777777777776E-2</v>
      </c>
      <c r="R185" s="5">
        <v>1.1111111111111112E-2</v>
      </c>
      <c r="S185" s="5">
        <v>1.5972222222222221E-2</v>
      </c>
      <c r="T185" s="5">
        <v>9.0277777777777769E-3</v>
      </c>
      <c r="U185" s="5">
        <v>0</v>
      </c>
      <c r="V185" s="5">
        <v>1.5277777777777777E-2</v>
      </c>
      <c r="W185" s="5">
        <v>6.2500000000000003E-3</v>
      </c>
      <c r="X185" s="5">
        <v>3.2638888888888891E-2</v>
      </c>
      <c r="Y185" s="5">
        <v>0</v>
      </c>
      <c r="Z185" s="5">
        <v>0</v>
      </c>
      <c r="AA185" s="5">
        <v>2.7777777777777779E-3</v>
      </c>
      <c r="AB185" s="5">
        <v>0</v>
      </c>
      <c r="AC185" s="5">
        <v>1.8749999999999999E-2</v>
      </c>
      <c r="AD185" s="5">
        <v>1.1111111111111112E-2</v>
      </c>
      <c r="AE185" s="5">
        <v>0</v>
      </c>
      <c r="AF185" s="5">
        <v>2.0833333333333333E-3</v>
      </c>
      <c r="AJ185" s="1">
        <v>7</v>
      </c>
      <c r="AK185" s="1">
        <f t="shared" si="46"/>
        <v>29</v>
      </c>
      <c r="AL185" s="10">
        <v>6.9444444444444441E-3</v>
      </c>
      <c r="AM185" s="1">
        <f t="shared" si="34"/>
        <v>13</v>
      </c>
      <c r="AN185" s="13">
        <f t="shared" si="47"/>
        <v>0.44827586206896552</v>
      </c>
      <c r="AO185" s="14">
        <f t="shared" si="48"/>
        <v>0</v>
      </c>
      <c r="AP185" s="1" t="s">
        <v>203</v>
      </c>
      <c r="AQ185" s="1" t="str">
        <f t="shared" ref="AQ185:AQ186" si="50">CONCATENATE(AU185," ",(MID(AS185,1,AT185-1)))</f>
        <v>MARIELLA TICLLA</v>
      </c>
      <c r="AR185" s="1">
        <f t="shared" si="35"/>
        <v>13</v>
      </c>
      <c r="AS185" s="1" t="str">
        <f t="shared" si="36"/>
        <v>TICLLA RAMOS</v>
      </c>
      <c r="AT185" s="1">
        <f t="shared" si="38"/>
        <v>7</v>
      </c>
      <c r="AU185" s="1" t="str">
        <f t="shared" si="39"/>
        <v>MARIELLA</v>
      </c>
      <c r="AV185" s="1" t="e">
        <f t="shared" si="40"/>
        <v>#VALUE!</v>
      </c>
    </row>
    <row r="186" spans="1:48">
      <c r="A186" s="2" t="s">
        <v>14</v>
      </c>
      <c r="B186" s="2" t="s">
        <v>15</v>
      </c>
      <c r="C186" s="2" t="s">
        <v>16</v>
      </c>
      <c r="D186" s="5">
        <v>9.0277777777777769E-3</v>
      </c>
      <c r="E186" s="5">
        <v>3.472222222222222E-3</v>
      </c>
      <c r="F186" s="5">
        <v>1.7361111111111112E-2</v>
      </c>
      <c r="G186" s="5">
        <v>0</v>
      </c>
      <c r="H186" s="5">
        <v>0</v>
      </c>
      <c r="I186" s="5">
        <v>1.3888888888888888E-2</v>
      </c>
      <c r="J186" s="5">
        <v>3.472222222222222E-3</v>
      </c>
      <c r="K186" s="5">
        <v>8.3333333333333332E-3</v>
      </c>
      <c r="L186" s="5">
        <v>7.6388888888888886E-3</v>
      </c>
      <c r="M186" s="5">
        <v>0</v>
      </c>
      <c r="N186" s="5">
        <v>0</v>
      </c>
      <c r="O186" s="5">
        <v>4.1666666666666666E-3</v>
      </c>
      <c r="P186" s="5">
        <v>1.4583333333333334E-2</v>
      </c>
      <c r="Q186" s="5">
        <v>9.7222222222222224E-3</v>
      </c>
      <c r="R186" s="5">
        <v>2.6388888888888889E-2</v>
      </c>
      <c r="S186" s="5">
        <v>6.9444444444444447E-4</v>
      </c>
      <c r="T186" s="5">
        <v>6.9444444444444447E-4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3.472222222222222E-3</v>
      </c>
      <c r="AE186" s="5">
        <v>0</v>
      </c>
      <c r="AF186" s="5">
        <v>1.0416666666666666E-2</v>
      </c>
      <c r="AJ186" s="1">
        <v>7</v>
      </c>
      <c r="AK186" s="1">
        <f t="shared" si="46"/>
        <v>29</v>
      </c>
      <c r="AL186" s="10">
        <v>6.9444444444444441E-3</v>
      </c>
      <c r="AM186" s="1">
        <f t="shared" si="34"/>
        <v>9</v>
      </c>
      <c r="AN186" s="13">
        <f t="shared" si="47"/>
        <v>0.31034482758620691</v>
      </c>
      <c r="AO186" s="14">
        <f t="shared" si="48"/>
        <v>0</v>
      </c>
      <c r="AP186" s="1" t="s">
        <v>203</v>
      </c>
      <c r="AQ186" s="1" t="str">
        <f t="shared" si="50"/>
        <v>RICHARD PARIONA</v>
      </c>
      <c r="AR186" s="1">
        <f t="shared" si="35"/>
        <v>14</v>
      </c>
      <c r="AS186" s="1" t="str">
        <f t="shared" si="36"/>
        <v>PARIONA ROSAS</v>
      </c>
      <c r="AT186" s="1">
        <f t="shared" si="38"/>
        <v>8</v>
      </c>
      <c r="AU186" s="1" t="str">
        <f t="shared" si="39"/>
        <v>RICHARD</v>
      </c>
      <c r="AV186" s="1" t="e">
        <f t="shared" si="40"/>
        <v>#VALUE!</v>
      </c>
    </row>
    <row r="187" spans="1:48">
      <c r="A187" s="2" t="s">
        <v>17</v>
      </c>
      <c r="B187" s="2" t="s">
        <v>18</v>
      </c>
      <c r="C187" s="2" t="s">
        <v>19</v>
      </c>
      <c r="D187" s="5">
        <v>6.9444444444444441E-3</v>
      </c>
      <c r="E187" s="5">
        <v>0</v>
      </c>
      <c r="F187" s="5">
        <v>9.0277777777777769E-3</v>
      </c>
      <c r="G187" s="5">
        <v>0</v>
      </c>
      <c r="H187" s="5">
        <v>1.8055555555555554E-2</v>
      </c>
      <c r="I187" s="5">
        <v>1.3888888888888889E-3</v>
      </c>
      <c r="J187" s="5">
        <v>9.0277777777777769E-3</v>
      </c>
      <c r="K187" s="5">
        <v>5.5555555555555558E-3</v>
      </c>
      <c r="L187" s="5">
        <v>0</v>
      </c>
      <c r="M187" s="5">
        <v>0</v>
      </c>
      <c r="N187" s="5">
        <v>0</v>
      </c>
      <c r="O187" s="5">
        <v>0</v>
      </c>
      <c r="P187" s="5">
        <v>4.8611111111111112E-3</v>
      </c>
      <c r="Q187" s="5">
        <v>0</v>
      </c>
      <c r="R187" s="5">
        <v>7.6388888888888886E-3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J187" s="1">
        <v>7</v>
      </c>
      <c r="AK187" s="1">
        <f t="shared" si="46"/>
        <v>29</v>
      </c>
      <c r="AL187" s="10">
        <v>6.9444444444444441E-3</v>
      </c>
      <c r="AM187" s="1">
        <f t="shared" si="34"/>
        <v>4</v>
      </c>
      <c r="AN187" s="13">
        <f t="shared" si="47"/>
        <v>0.13793103448275862</v>
      </c>
      <c r="AO187" s="14">
        <f t="shared" si="48"/>
        <v>0</v>
      </c>
      <c r="AP187" s="1" t="s">
        <v>203</v>
      </c>
      <c r="AQ187" s="1" t="str">
        <f t="shared" si="37"/>
        <v>STEPHEN LLANOS</v>
      </c>
      <c r="AR187" s="1">
        <f t="shared" si="35"/>
        <v>16</v>
      </c>
      <c r="AS187" s="1" t="str">
        <f t="shared" si="36"/>
        <v>LLANOS ANTAURCO</v>
      </c>
      <c r="AT187" s="1">
        <f t="shared" si="38"/>
        <v>7</v>
      </c>
      <c r="AU187" s="1" t="str">
        <f t="shared" si="39"/>
        <v>STEPHEN BORIS</v>
      </c>
      <c r="AV187" s="1">
        <f t="shared" si="40"/>
        <v>8</v>
      </c>
    </row>
    <row r="188" spans="1:48">
      <c r="A188" s="2" t="s">
        <v>20</v>
      </c>
      <c r="B188" s="2" t="s">
        <v>21</v>
      </c>
      <c r="C188" s="2" t="s">
        <v>22</v>
      </c>
      <c r="D188" s="5">
        <v>1.8055555555555554E-2</v>
      </c>
      <c r="E188" s="5">
        <v>1.0416666666666666E-2</v>
      </c>
      <c r="F188" s="5">
        <v>4.1666666666666666E-3</v>
      </c>
      <c r="G188" s="5">
        <v>0</v>
      </c>
      <c r="H188" s="5">
        <v>3.6111111111111108E-2</v>
      </c>
      <c r="I188" s="5">
        <v>2.2222222222222223E-2</v>
      </c>
      <c r="J188" s="5">
        <v>8.3333333333333332E-3</v>
      </c>
      <c r="K188" s="5">
        <v>1.9444444444444445E-2</v>
      </c>
      <c r="L188" s="5">
        <v>1.2500000000000001E-2</v>
      </c>
      <c r="M188" s="5">
        <v>0</v>
      </c>
      <c r="N188" s="5">
        <v>0</v>
      </c>
      <c r="O188" s="5">
        <v>1.1805555555555555E-2</v>
      </c>
      <c r="P188" s="5">
        <v>1.1111111111111112E-2</v>
      </c>
      <c r="Q188" s="5">
        <v>0</v>
      </c>
      <c r="R188" s="5">
        <v>2.0833333333333333E-3</v>
      </c>
      <c r="S188" s="5">
        <v>1.1805555555555555E-2</v>
      </c>
      <c r="T188" s="5">
        <v>1.3888888888888888E-2</v>
      </c>
      <c r="U188" s="5">
        <v>0</v>
      </c>
      <c r="V188" s="5">
        <v>1.6666666666666666E-2</v>
      </c>
      <c r="W188" s="5">
        <v>1.2500000000000001E-2</v>
      </c>
      <c r="X188" s="5">
        <v>2.0833333333333332E-2</v>
      </c>
      <c r="Y188" s="5">
        <v>2.6388888888888889E-2</v>
      </c>
      <c r="Z188" s="5">
        <v>4.1666666666666666E-3</v>
      </c>
      <c r="AA188" s="5">
        <v>8.3333333333333332E-3</v>
      </c>
      <c r="AB188" s="5">
        <v>0</v>
      </c>
      <c r="AC188" s="5">
        <v>1.4583333333333334E-2</v>
      </c>
      <c r="AD188" s="5">
        <v>1.0416666666666666E-2</v>
      </c>
      <c r="AE188" s="5">
        <v>0</v>
      </c>
      <c r="AF188" s="5">
        <v>1.3888888888888889E-3</v>
      </c>
      <c r="AJ188" s="1">
        <v>7</v>
      </c>
      <c r="AK188" s="1">
        <f t="shared" si="46"/>
        <v>29</v>
      </c>
      <c r="AL188" s="10">
        <v>6.9444444444444441E-3</v>
      </c>
      <c r="AM188" s="1">
        <f t="shared" si="34"/>
        <v>18</v>
      </c>
      <c r="AN188" s="13">
        <f t="shared" si="47"/>
        <v>0.62068965517241381</v>
      </c>
      <c r="AO188" s="14">
        <f t="shared" si="48"/>
        <v>0</v>
      </c>
      <c r="AP188" s="1" t="s">
        <v>203</v>
      </c>
      <c r="AQ188" s="1" t="str">
        <f t="shared" si="37"/>
        <v>LUZ CCAMA</v>
      </c>
      <c r="AR188" s="1">
        <f t="shared" si="35"/>
        <v>12</v>
      </c>
      <c r="AS188" s="1" t="str">
        <f t="shared" si="36"/>
        <v>CCAMA ARONI</v>
      </c>
      <c r="AT188" s="1">
        <f t="shared" si="38"/>
        <v>6</v>
      </c>
      <c r="AU188" s="1" t="str">
        <f t="shared" si="39"/>
        <v>LUZ MIRELLA</v>
      </c>
      <c r="AV188" s="1">
        <f t="shared" si="40"/>
        <v>4</v>
      </c>
    </row>
    <row r="189" spans="1:48">
      <c r="A189" s="2" t="s">
        <v>23</v>
      </c>
      <c r="B189" s="2" t="s">
        <v>24</v>
      </c>
      <c r="C189" s="2" t="s">
        <v>25</v>
      </c>
      <c r="D189" s="5">
        <v>2.2916666666666665E-2</v>
      </c>
      <c r="E189" s="5">
        <v>1.0416666666666666E-2</v>
      </c>
      <c r="F189" s="5">
        <v>1.1805555555555555E-2</v>
      </c>
      <c r="G189" s="5">
        <v>0</v>
      </c>
      <c r="H189" s="5">
        <v>1.1805555555555555E-2</v>
      </c>
      <c r="I189" s="5">
        <v>0</v>
      </c>
      <c r="J189" s="5">
        <v>5.5555555555555558E-3</v>
      </c>
      <c r="K189" s="5">
        <v>1.1805555555555555E-2</v>
      </c>
      <c r="L189" s="5">
        <v>9.0277777777777769E-3</v>
      </c>
      <c r="M189" s="5">
        <v>0</v>
      </c>
      <c r="N189" s="5">
        <v>0</v>
      </c>
      <c r="O189" s="5">
        <v>6.2500000000000003E-3</v>
      </c>
      <c r="P189" s="5">
        <v>8.3333333333333332E-3</v>
      </c>
      <c r="Q189" s="5">
        <v>8.3333333333333332E-3</v>
      </c>
      <c r="R189" s="5">
        <v>5.5555555555555558E-3</v>
      </c>
      <c r="S189" s="5">
        <v>3.472222222222222E-3</v>
      </c>
      <c r="T189" s="5">
        <v>6.9444444444444447E-4</v>
      </c>
      <c r="U189" s="5">
        <v>0</v>
      </c>
      <c r="V189" s="5">
        <v>3.472222222222222E-3</v>
      </c>
      <c r="W189" s="5">
        <v>4.8611111111111112E-3</v>
      </c>
      <c r="X189" s="5">
        <v>8.3333333333333332E-3</v>
      </c>
      <c r="Y189" s="5">
        <v>1.3194444444444444E-2</v>
      </c>
      <c r="Z189" s="5">
        <v>0</v>
      </c>
      <c r="AA189" s="5">
        <v>0</v>
      </c>
      <c r="AB189" s="5">
        <v>0</v>
      </c>
      <c r="AC189" s="5">
        <v>3.472222222222222E-3</v>
      </c>
      <c r="AD189" s="5">
        <v>5.5555555555555558E-3</v>
      </c>
      <c r="AE189" s="5">
        <v>0</v>
      </c>
      <c r="AF189" s="5">
        <v>5.5555555555555558E-3</v>
      </c>
      <c r="AJ189" s="1">
        <v>7</v>
      </c>
      <c r="AK189" s="1">
        <f t="shared" si="46"/>
        <v>29</v>
      </c>
      <c r="AL189" s="10">
        <v>6.9444444444444441E-3</v>
      </c>
      <c r="AM189" s="1">
        <f t="shared" si="34"/>
        <v>10</v>
      </c>
      <c r="AN189" s="13">
        <f t="shared" si="47"/>
        <v>0.34482758620689657</v>
      </c>
      <c r="AO189" s="14">
        <f t="shared" si="48"/>
        <v>0</v>
      </c>
      <c r="AP189" s="1" t="s">
        <v>201</v>
      </c>
      <c r="AQ189" s="1" t="str">
        <f t="shared" si="37"/>
        <v>ANDREA CAYCHO</v>
      </c>
      <c r="AR189" s="1">
        <f t="shared" si="35"/>
        <v>14</v>
      </c>
      <c r="AS189" s="1" t="str">
        <f t="shared" si="36"/>
        <v>CAYCHO HUANCA</v>
      </c>
      <c r="AT189" s="1">
        <f t="shared" si="38"/>
        <v>7</v>
      </c>
      <c r="AU189" s="1" t="str">
        <f t="shared" si="39"/>
        <v>ANDREA ALESSANDRA</v>
      </c>
      <c r="AV189" s="1">
        <f t="shared" si="40"/>
        <v>7</v>
      </c>
    </row>
    <row r="190" spans="1:48">
      <c r="A190" s="2" t="s">
        <v>26</v>
      </c>
      <c r="B190" s="2" t="s">
        <v>27</v>
      </c>
      <c r="C190" s="2" t="s">
        <v>28</v>
      </c>
      <c r="D190" s="5">
        <v>1.1805555555555555E-2</v>
      </c>
      <c r="E190" s="5">
        <v>1.5972222222222221E-2</v>
      </c>
      <c r="F190" s="5">
        <v>1.5972222222222221E-2</v>
      </c>
      <c r="G190" s="5">
        <v>0</v>
      </c>
      <c r="H190" s="5">
        <v>2.361111111111111E-2</v>
      </c>
      <c r="I190" s="5">
        <v>9.7222222222222224E-3</v>
      </c>
      <c r="J190" s="5">
        <v>9.7222222222222224E-3</v>
      </c>
      <c r="K190" s="5">
        <v>0</v>
      </c>
      <c r="L190" s="5">
        <v>3.472222222222222E-3</v>
      </c>
      <c r="M190" s="5">
        <v>6.9444444444444447E-4</v>
      </c>
      <c r="N190" s="5">
        <v>0</v>
      </c>
      <c r="O190" s="5">
        <v>0</v>
      </c>
      <c r="P190" s="5">
        <v>3.472222222222222E-3</v>
      </c>
      <c r="Q190" s="5">
        <v>9.7222222222222224E-3</v>
      </c>
      <c r="R190" s="5">
        <v>2.0833333333333333E-3</v>
      </c>
      <c r="S190" s="5">
        <v>5.5555555555555558E-3</v>
      </c>
      <c r="T190" s="5">
        <v>8.3333333333333332E-3</v>
      </c>
      <c r="U190" s="5">
        <v>0</v>
      </c>
      <c r="V190" s="5">
        <v>0</v>
      </c>
      <c r="W190" s="5">
        <v>1.3888888888888889E-3</v>
      </c>
      <c r="X190" s="5">
        <v>4.8611111111111112E-3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6.9444444444444447E-4</v>
      </c>
      <c r="AE190" s="5">
        <v>0</v>
      </c>
      <c r="AF190" s="5">
        <v>4.8611111111111112E-3</v>
      </c>
      <c r="AJ190" s="1">
        <v>7</v>
      </c>
      <c r="AK190" s="1">
        <f t="shared" si="46"/>
        <v>29</v>
      </c>
      <c r="AL190" s="10">
        <v>6.9444444444444441E-3</v>
      </c>
      <c r="AM190" s="1">
        <f t="shared" si="34"/>
        <v>8</v>
      </c>
      <c r="AN190" s="13">
        <f t="shared" si="47"/>
        <v>0.27586206896551724</v>
      </c>
      <c r="AO190" s="14">
        <f t="shared" si="48"/>
        <v>0</v>
      </c>
      <c r="AP190" s="1" t="s">
        <v>201</v>
      </c>
      <c r="AQ190" s="1" t="str">
        <f t="shared" si="37"/>
        <v>ANGELICA PRETELL</v>
      </c>
      <c r="AR190" s="1">
        <f t="shared" si="35"/>
        <v>16</v>
      </c>
      <c r="AS190" s="1" t="str">
        <f t="shared" si="36"/>
        <v>PRETELL PINTADO</v>
      </c>
      <c r="AT190" s="1">
        <f t="shared" si="38"/>
        <v>8</v>
      </c>
      <c r="AU190" s="1" t="str">
        <f t="shared" si="39"/>
        <v>ANGELICA DIANA</v>
      </c>
      <c r="AV190" s="1">
        <f t="shared" si="40"/>
        <v>9</v>
      </c>
    </row>
    <row r="191" spans="1:48">
      <c r="A191" s="2" t="s">
        <v>29</v>
      </c>
      <c r="B191" s="2" t="s">
        <v>30</v>
      </c>
      <c r="C191" s="2" t="s">
        <v>31</v>
      </c>
      <c r="D191" s="5">
        <v>2.0833333333333332E-2</v>
      </c>
      <c r="E191" s="5">
        <v>2.7777777777777779E-3</v>
      </c>
      <c r="F191" s="5">
        <v>2.7777777777777779E-3</v>
      </c>
      <c r="G191" s="5">
        <v>0</v>
      </c>
      <c r="H191" s="5">
        <v>1.5277777777777777E-2</v>
      </c>
      <c r="I191" s="5">
        <v>0</v>
      </c>
      <c r="J191" s="5">
        <v>1.8749999999999999E-2</v>
      </c>
      <c r="K191" s="5">
        <v>6.9444444444444447E-4</v>
      </c>
      <c r="L191" s="5">
        <v>0</v>
      </c>
      <c r="M191" s="5">
        <v>6.9444444444444441E-3</v>
      </c>
      <c r="N191" s="5">
        <v>0</v>
      </c>
      <c r="O191" s="5">
        <v>0</v>
      </c>
      <c r="P191" s="5">
        <v>0</v>
      </c>
      <c r="Q191" s="5">
        <v>0</v>
      </c>
      <c r="R191" s="5">
        <v>1.3194444444444444E-2</v>
      </c>
      <c r="S191" s="5">
        <v>0</v>
      </c>
      <c r="T191" s="5">
        <v>0</v>
      </c>
      <c r="U191" s="5">
        <v>0</v>
      </c>
      <c r="V191" s="5">
        <v>0</v>
      </c>
      <c r="W191" s="5">
        <v>3.472222222222222E-3</v>
      </c>
      <c r="X191" s="5">
        <v>0</v>
      </c>
      <c r="Y191" s="5">
        <v>0</v>
      </c>
      <c r="Z191" s="5">
        <v>4.8611111111111112E-3</v>
      </c>
      <c r="AA191" s="5">
        <v>4.1666666666666666E-3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J191" s="1">
        <v>7</v>
      </c>
      <c r="AK191" s="1">
        <f t="shared" si="46"/>
        <v>29</v>
      </c>
      <c r="AL191" s="10">
        <v>6.9444444444444441E-3</v>
      </c>
      <c r="AM191" s="1">
        <f t="shared" si="34"/>
        <v>4</v>
      </c>
      <c r="AN191" s="13">
        <f t="shared" si="47"/>
        <v>0.13793103448275862</v>
      </c>
      <c r="AO191" s="14">
        <f t="shared" si="48"/>
        <v>0</v>
      </c>
      <c r="AP191" s="1" t="s">
        <v>203</v>
      </c>
      <c r="AQ191" s="1" t="str">
        <f t="shared" si="37"/>
        <v>CARLOS LOPEZ</v>
      </c>
      <c r="AR191" s="1">
        <f t="shared" si="35"/>
        <v>13</v>
      </c>
      <c r="AS191" s="1" t="str">
        <f t="shared" si="36"/>
        <v>LOPEZ FARIAS</v>
      </c>
      <c r="AT191" s="1">
        <f t="shared" si="38"/>
        <v>6</v>
      </c>
      <c r="AU191" s="1" t="str">
        <f t="shared" si="39"/>
        <v>CARLOS JOAQUIN</v>
      </c>
      <c r="AV191" s="1">
        <f t="shared" si="40"/>
        <v>7</v>
      </c>
    </row>
    <row r="192" spans="1:48">
      <c r="A192" s="2" t="s">
        <v>32</v>
      </c>
      <c r="B192" s="2" t="s">
        <v>33</v>
      </c>
      <c r="C192" s="2" t="s">
        <v>34</v>
      </c>
      <c r="D192" s="5">
        <v>9.0277777777777769E-3</v>
      </c>
      <c r="E192" s="2" t="s">
        <v>35</v>
      </c>
      <c r="F192" s="5">
        <v>3.472222222222222E-3</v>
      </c>
      <c r="G192" s="5">
        <v>0</v>
      </c>
      <c r="H192" s="5">
        <v>5.5555555555555558E-3</v>
      </c>
      <c r="I192" s="5">
        <v>6.9444444444444447E-4</v>
      </c>
      <c r="J192" s="5">
        <v>1.3888888888888889E-3</v>
      </c>
      <c r="K192" s="5">
        <v>0</v>
      </c>
      <c r="L192" s="5">
        <v>1.3888888888888889E-3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6.9444444444444447E-4</v>
      </c>
      <c r="T192" s="5">
        <v>0</v>
      </c>
      <c r="U192" s="5">
        <v>0</v>
      </c>
      <c r="V192" s="5">
        <v>0</v>
      </c>
      <c r="W192" s="5">
        <v>3.472222222222222E-3</v>
      </c>
      <c r="X192" s="5">
        <v>1.5277777777777777E-2</v>
      </c>
      <c r="Y192" s="5">
        <v>0</v>
      </c>
      <c r="Z192" s="5">
        <v>0</v>
      </c>
      <c r="AA192" s="5">
        <v>0</v>
      </c>
      <c r="AB192" s="5">
        <v>0</v>
      </c>
      <c r="AC192" s="5">
        <v>2.7777777777777779E-3</v>
      </c>
      <c r="AD192" s="5">
        <v>5.5555555555555558E-3</v>
      </c>
      <c r="AE192" s="5">
        <v>0</v>
      </c>
      <c r="AF192" s="5">
        <v>5.5555555555555558E-3</v>
      </c>
      <c r="AJ192" s="1">
        <v>7</v>
      </c>
      <c r="AK192" s="1">
        <f t="shared" si="46"/>
        <v>29</v>
      </c>
      <c r="AL192" s="10">
        <v>6.9444444444444441E-3</v>
      </c>
      <c r="AM192" s="1">
        <f t="shared" si="34"/>
        <v>2</v>
      </c>
      <c r="AN192" s="13">
        <f t="shared" si="47"/>
        <v>6.8965517241379309E-2</v>
      </c>
      <c r="AO192" s="14">
        <f t="shared" si="48"/>
        <v>0</v>
      </c>
      <c r="AP192" s="1" t="s">
        <v>203</v>
      </c>
      <c r="AQ192" s="1" t="str">
        <f t="shared" si="37"/>
        <v>RONY CRUZ</v>
      </c>
      <c r="AR192" s="1">
        <f t="shared" si="35"/>
        <v>11</v>
      </c>
      <c r="AS192" s="1" t="str">
        <f t="shared" si="36"/>
        <v>CRUZ TAIPE</v>
      </c>
      <c r="AT192" s="1">
        <f t="shared" si="38"/>
        <v>5</v>
      </c>
      <c r="AU192" s="1" t="str">
        <f t="shared" si="39"/>
        <v>RONY WALDIR</v>
      </c>
      <c r="AV192" s="1">
        <f t="shared" si="40"/>
        <v>5</v>
      </c>
    </row>
    <row r="193" spans="1:48">
      <c r="A193" s="2" t="s">
        <v>36</v>
      </c>
      <c r="B193" s="2" t="s">
        <v>37</v>
      </c>
      <c r="C193" s="2" t="s">
        <v>38</v>
      </c>
      <c r="D193" s="5">
        <v>6.9444444444444447E-4</v>
      </c>
      <c r="E193" s="5">
        <v>4.8611111111111112E-3</v>
      </c>
      <c r="F193" s="5">
        <v>1.1805555555555555E-2</v>
      </c>
      <c r="G193" s="5">
        <v>0</v>
      </c>
      <c r="H193" s="5">
        <v>0</v>
      </c>
      <c r="I193" s="5">
        <v>6.9444444444444447E-4</v>
      </c>
      <c r="J193" s="5">
        <v>1.9444444444444445E-2</v>
      </c>
      <c r="K193" s="5">
        <v>8.3333333333333332E-3</v>
      </c>
      <c r="L193" s="5">
        <v>1.3888888888888889E-3</v>
      </c>
      <c r="M193" s="5">
        <v>0</v>
      </c>
      <c r="N193" s="5">
        <v>0</v>
      </c>
      <c r="O193" s="5">
        <v>0</v>
      </c>
      <c r="P193" s="5">
        <v>0</v>
      </c>
      <c r="Q193" s="5">
        <v>3.472222222222222E-3</v>
      </c>
      <c r="R193" s="5">
        <v>1.0416666666666666E-2</v>
      </c>
      <c r="S193" s="5">
        <v>4.8611111111111112E-3</v>
      </c>
      <c r="T193" s="5">
        <v>1.3888888888888889E-3</v>
      </c>
      <c r="U193" s="5">
        <v>0</v>
      </c>
      <c r="V193" s="5">
        <v>3.472222222222222E-3</v>
      </c>
      <c r="W193" s="5">
        <v>1.3888888888888889E-3</v>
      </c>
      <c r="X193" s="5">
        <v>3.472222222222222E-3</v>
      </c>
      <c r="Y193" s="5">
        <v>0</v>
      </c>
      <c r="Z193" s="5">
        <v>0</v>
      </c>
      <c r="AA193" s="5">
        <v>0</v>
      </c>
      <c r="AB193" s="5">
        <v>0</v>
      </c>
      <c r="AC193" s="5">
        <v>1.1111111111111112E-2</v>
      </c>
      <c r="AD193" s="5">
        <v>3.472222222222222E-3</v>
      </c>
      <c r="AE193" s="5">
        <v>0</v>
      </c>
      <c r="AF193" s="5">
        <v>2.0833333333333333E-3</v>
      </c>
      <c r="AJ193" s="1">
        <v>7</v>
      </c>
      <c r="AK193" s="1">
        <f t="shared" si="46"/>
        <v>29</v>
      </c>
      <c r="AL193" s="10">
        <v>6.9444444444444441E-3</v>
      </c>
      <c r="AM193" s="1">
        <f t="shared" si="34"/>
        <v>5</v>
      </c>
      <c r="AN193" s="13">
        <f t="shared" si="47"/>
        <v>0.17241379310344829</v>
      </c>
      <c r="AO193" s="14">
        <f t="shared" si="48"/>
        <v>0</v>
      </c>
      <c r="AP193" s="1" t="s">
        <v>201</v>
      </c>
      <c r="AQ193" s="1" t="str">
        <f t="shared" si="37"/>
        <v>MARQUIÑO ANDRADE</v>
      </c>
      <c r="AR193" s="1">
        <f t="shared" si="35"/>
        <v>13</v>
      </c>
      <c r="AS193" s="1" t="str">
        <f t="shared" si="36"/>
        <v>ANDRADE MERA</v>
      </c>
      <c r="AT193" s="1">
        <f t="shared" si="38"/>
        <v>8</v>
      </c>
      <c r="AU193" s="1" t="str">
        <f t="shared" si="39"/>
        <v>MARQUIÑO ANTONY</v>
      </c>
      <c r="AV193" s="1">
        <f t="shared" si="40"/>
        <v>9</v>
      </c>
    </row>
    <row r="194" spans="1:48">
      <c r="A194" s="2" t="s">
        <v>39</v>
      </c>
      <c r="B194" s="2" t="s">
        <v>40</v>
      </c>
      <c r="C194" s="2" t="s">
        <v>41</v>
      </c>
      <c r="D194" s="5">
        <v>0</v>
      </c>
      <c r="E194" s="5">
        <v>0</v>
      </c>
      <c r="F194" s="5">
        <v>2.7777777777777779E-3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9.7222222222222224E-3</v>
      </c>
      <c r="N194" s="5">
        <v>0</v>
      </c>
      <c r="O194" s="5">
        <v>1.0416666666666666E-2</v>
      </c>
      <c r="P194" s="5">
        <v>0</v>
      </c>
      <c r="Q194" s="5">
        <v>0</v>
      </c>
      <c r="R194" s="5">
        <v>3.472222222222222E-3</v>
      </c>
      <c r="S194" s="5">
        <v>0</v>
      </c>
      <c r="T194" s="5">
        <v>0</v>
      </c>
      <c r="U194" s="5">
        <v>0</v>
      </c>
      <c r="V194" s="5">
        <v>0</v>
      </c>
      <c r="W194" s="5">
        <v>6.9444444444444447E-4</v>
      </c>
      <c r="X194" s="5">
        <v>0</v>
      </c>
      <c r="Y194" s="5">
        <v>0</v>
      </c>
      <c r="Z194" s="5">
        <v>0</v>
      </c>
      <c r="AA194" s="5">
        <v>1.3888888888888889E-3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J194" s="1">
        <v>7</v>
      </c>
      <c r="AK194" s="1">
        <f t="shared" si="46"/>
        <v>29</v>
      </c>
      <c r="AL194" s="10">
        <v>6.9444444444444441E-3</v>
      </c>
      <c r="AM194" s="1">
        <f t="shared" ref="AM194:AM209" si="51">COUNTIF(D194:AI194, "&gt;00:10")</f>
        <v>2</v>
      </c>
      <c r="AN194" s="13">
        <f t="shared" si="47"/>
        <v>6.8965517241379309E-2</v>
      </c>
      <c r="AO194" s="14">
        <f t="shared" si="48"/>
        <v>0</v>
      </c>
      <c r="AP194" s="1" t="s">
        <v>203</v>
      </c>
      <c r="AQ194" s="1" t="str">
        <f t="shared" si="37"/>
        <v>FRANCISCO MEJIA</v>
      </c>
      <c r="AR194" s="1">
        <f t="shared" ref="AR194:AR235" si="52">SEARCH(",",B194)</f>
        <v>13</v>
      </c>
      <c r="AS194" s="1" t="str">
        <f t="shared" ref="AS194:AS257" si="53">MID(B194,1,AR194-1)</f>
        <v>MEJIA TORRES</v>
      </c>
      <c r="AT194" s="1">
        <f t="shared" si="38"/>
        <v>6</v>
      </c>
      <c r="AU194" s="1" t="str">
        <f t="shared" si="39"/>
        <v>FRANCISCO JAVIER</v>
      </c>
      <c r="AV194" s="1">
        <f t="shared" si="40"/>
        <v>10</v>
      </c>
    </row>
    <row r="195" spans="1:48">
      <c r="A195" s="2" t="s">
        <v>42</v>
      </c>
      <c r="B195" s="2" t="s">
        <v>43</v>
      </c>
      <c r="C195" s="2" t="s">
        <v>44</v>
      </c>
      <c r="D195" s="5">
        <v>0</v>
      </c>
      <c r="E195" s="2" t="s">
        <v>45</v>
      </c>
      <c r="F195" s="5">
        <v>2.7777777777777779E-3</v>
      </c>
      <c r="G195" s="5">
        <v>0</v>
      </c>
      <c r="H195" s="2" t="s">
        <v>46</v>
      </c>
      <c r="I195" s="5">
        <v>1.9444444444444445E-2</v>
      </c>
      <c r="J195" s="2" t="s">
        <v>47</v>
      </c>
      <c r="K195" s="5">
        <v>0</v>
      </c>
      <c r="L195" s="2" t="s">
        <v>48</v>
      </c>
      <c r="M195" s="2" t="s">
        <v>49</v>
      </c>
      <c r="N195" s="5">
        <v>0</v>
      </c>
      <c r="O195" s="2" t="s">
        <v>50</v>
      </c>
      <c r="P195" s="5">
        <v>0</v>
      </c>
      <c r="Q195" s="5">
        <v>0</v>
      </c>
      <c r="R195" s="5">
        <v>0</v>
      </c>
      <c r="S195" s="2" t="s">
        <v>51</v>
      </c>
      <c r="T195" s="5">
        <v>0</v>
      </c>
      <c r="U195" s="5">
        <v>0</v>
      </c>
      <c r="V195" s="2" t="s">
        <v>52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2" t="s">
        <v>53</v>
      </c>
      <c r="AD195" s="5">
        <v>2.7777777777777779E-3</v>
      </c>
      <c r="AE195" s="5">
        <v>0</v>
      </c>
      <c r="AF195" s="5">
        <v>1.7361111111111112E-2</v>
      </c>
      <c r="AJ195" s="1">
        <v>7</v>
      </c>
      <c r="AK195" s="1">
        <f t="shared" si="46"/>
        <v>29</v>
      </c>
      <c r="AL195" s="10">
        <v>6.9444444444444441E-3</v>
      </c>
      <c r="AM195" s="1">
        <f t="shared" si="51"/>
        <v>2</v>
      </c>
      <c r="AN195" s="13">
        <f t="shared" si="47"/>
        <v>6.8965517241379309E-2</v>
      </c>
      <c r="AO195" s="14">
        <f t="shared" si="48"/>
        <v>1</v>
      </c>
      <c r="AP195" s="1" t="s">
        <v>203</v>
      </c>
      <c r="AQ195" s="1" t="str">
        <f t="shared" ref="AQ195:AQ235" si="54">CONCATENATE(MID(AU195,1,AV195-1)," ",(MID(AS195,1,AT195-1)))</f>
        <v>CARLOS GUEVARA</v>
      </c>
      <c r="AR195" s="1">
        <f t="shared" si="52"/>
        <v>16</v>
      </c>
      <c r="AS195" s="1" t="str">
        <f t="shared" si="53"/>
        <v>GUEVARA CABELLO</v>
      </c>
      <c r="AT195" s="1">
        <f t="shared" ref="AT195:AT235" si="55">SEARCH(" ",AS195)</f>
        <v>8</v>
      </c>
      <c r="AU195" s="1" t="str">
        <f t="shared" ref="AU195:AU235" si="56">MID(B195,AR195+2,90)</f>
        <v>CARLOS JEANPIERRE</v>
      </c>
      <c r="AV195" s="1">
        <f t="shared" ref="AV195:AV235" si="57">SEARCH(" ",AU195)</f>
        <v>7</v>
      </c>
    </row>
    <row r="196" spans="1:48">
      <c r="A196" s="2" t="s">
        <v>54</v>
      </c>
      <c r="B196" s="2" t="s">
        <v>55</v>
      </c>
      <c r="C196" s="2" t="s">
        <v>56</v>
      </c>
      <c r="D196" s="2" t="s">
        <v>57</v>
      </c>
      <c r="E196" s="5">
        <v>2.361111111111111E-2</v>
      </c>
      <c r="F196" s="5">
        <v>2.7083333333333334E-2</v>
      </c>
      <c r="G196" s="5">
        <v>0</v>
      </c>
      <c r="H196" s="5">
        <v>3.2638888888888891E-2</v>
      </c>
      <c r="I196" s="5">
        <v>1.9444444444444445E-2</v>
      </c>
      <c r="J196" s="5">
        <v>2.9166666666666667E-2</v>
      </c>
      <c r="K196" s="5">
        <v>3.0555555555555555E-2</v>
      </c>
      <c r="L196" s="2" t="s">
        <v>48</v>
      </c>
      <c r="M196" s="5">
        <v>2.5694444444444443E-2</v>
      </c>
      <c r="N196" s="5">
        <v>0</v>
      </c>
      <c r="O196" s="5">
        <v>1.3888888888888889E-3</v>
      </c>
      <c r="P196" s="5">
        <v>3.472222222222222E-3</v>
      </c>
      <c r="Q196" s="5">
        <v>0</v>
      </c>
      <c r="R196" s="5">
        <v>1.6666666666666666E-2</v>
      </c>
      <c r="S196" s="5">
        <v>0</v>
      </c>
      <c r="T196" s="5">
        <v>0</v>
      </c>
      <c r="U196" s="5">
        <v>0</v>
      </c>
      <c r="V196" s="5">
        <v>1.3888888888888888E-2</v>
      </c>
      <c r="W196" s="5">
        <v>2.013888888888889E-2</v>
      </c>
      <c r="X196" s="5">
        <v>1.3888888888888888E-2</v>
      </c>
      <c r="Y196" s="5">
        <v>6.2500000000000003E-3</v>
      </c>
      <c r="Z196" s="5">
        <v>0</v>
      </c>
      <c r="AA196" s="5">
        <v>3.472222222222222E-3</v>
      </c>
      <c r="AB196" s="5">
        <v>0</v>
      </c>
      <c r="AC196" s="5">
        <v>1.2500000000000001E-2</v>
      </c>
      <c r="AD196" s="5">
        <v>1.5972222222222221E-2</v>
      </c>
      <c r="AE196" s="5">
        <v>0</v>
      </c>
      <c r="AF196" s="5">
        <v>0</v>
      </c>
      <c r="AJ196" s="1">
        <v>7</v>
      </c>
      <c r="AK196" s="1">
        <f t="shared" si="46"/>
        <v>29</v>
      </c>
      <c r="AL196" s="10">
        <v>6.9444444444444441E-3</v>
      </c>
      <c r="AM196" s="1">
        <f t="shared" si="51"/>
        <v>13</v>
      </c>
      <c r="AN196" s="13">
        <f t="shared" si="47"/>
        <v>0.44827586206896552</v>
      </c>
      <c r="AO196" s="14">
        <f t="shared" si="48"/>
        <v>0</v>
      </c>
      <c r="AP196" s="1" t="s">
        <v>203</v>
      </c>
      <c r="AQ196" s="1" t="str">
        <f t="shared" ref="AQ196:AQ197" si="58">CONCATENATE(AU196," ",(MID(AS196,1,AT196-1)))</f>
        <v>KIMBERLLY AMES</v>
      </c>
      <c r="AR196" s="1">
        <f t="shared" si="52"/>
        <v>14</v>
      </c>
      <c r="AS196" s="1" t="str">
        <f t="shared" si="53"/>
        <v>AMES ESPINOZA</v>
      </c>
      <c r="AT196" s="1">
        <f t="shared" si="55"/>
        <v>5</v>
      </c>
      <c r="AU196" s="1" t="str">
        <f t="shared" si="56"/>
        <v>KIMBERLLY</v>
      </c>
      <c r="AV196" s="1" t="e">
        <f t="shared" si="57"/>
        <v>#VALUE!</v>
      </c>
    </row>
    <row r="197" spans="1:48">
      <c r="A197" s="2" t="s">
        <v>58</v>
      </c>
      <c r="B197" s="2" t="s">
        <v>59</v>
      </c>
      <c r="C197" s="2" t="s">
        <v>60</v>
      </c>
      <c r="D197" s="5">
        <v>1.1805555555555555E-2</v>
      </c>
      <c r="E197" s="5">
        <v>2.361111111111111E-2</v>
      </c>
      <c r="F197" s="5">
        <v>6.9444444444444441E-3</v>
      </c>
      <c r="G197" s="5">
        <v>0</v>
      </c>
      <c r="H197" s="5">
        <v>6.2500000000000003E-3</v>
      </c>
      <c r="I197" s="5">
        <v>4.8611111111111112E-3</v>
      </c>
      <c r="J197" s="5">
        <v>1.3888888888888889E-3</v>
      </c>
      <c r="K197" s="5">
        <v>3.472222222222222E-3</v>
      </c>
      <c r="L197" s="5">
        <v>4.8611111111111112E-3</v>
      </c>
      <c r="M197" s="5">
        <v>6.9444444444444447E-4</v>
      </c>
      <c r="N197" s="5">
        <v>0</v>
      </c>
      <c r="O197" s="5">
        <v>1.3888888888888889E-3</v>
      </c>
      <c r="P197" s="5">
        <v>6.9444444444444447E-4</v>
      </c>
      <c r="Q197" s="5">
        <v>6.9444444444444447E-4</v>
      </c>
      <c r="R197" s="5">
        <v>2.0833333333333333E-3</v>
      </c>
      <c r="S197" s="5">
        <v>0</v>
      </c>
      <c r="T197" s="5">
        <v>0</v>
      </c>
      <c r="U197" s="5">
        <v>0</v>
      </c>
      <c r="V197" s="5">
        <v>6.9444444444444447E-4</v>
      </c>
      <c r="W197" s="5">
        <v>0</v>
      </c>
      <c r="X197" s="5">
        <v>0</v>
      </c>
      <c r="Y197" s="5">
        <v>6.9444444444444447E-4</v>
      </c>
      <c r="Z197" s="5">
        <v>4.8611111111111112E-3</v>
      </c>
      <c r="AA197" s="5">
        <v>2.7777777777777779E-3</v>
      </c>
      <c r="AB197" s="5">
        <v>0</v>
      </c>
      <c r="AC197" s="5">
        <v>9.0277777777777769E-3</v>
      </c>
      <c r="AD197" s="5">
        <v>6.2500000000000003E-3</v>
      </c>
      <c r="AE197" s="5">
        <v>0</v>
      </c>
      <c r="AF197" s="5">
        <v>9.0277777777777769E-3</v>
      </c>
      <c r="AJ197" s="1">
        <v>7</v>
      </c>
      <c r="AK197" s="1">
        <f t="shared" ref="AK197:AK210" si="59">COUNTA(D197:AI197)</f>
        <v>29</v>
      </c>
      <c r="AL197" s="10">
        <v>6.9444444444444441E-3</v>
      </c>
      <c r="AM197" s="1">
        <f t="shared" si="51"/>
        <v>4</v>
      </c>
      <c r="AN197" s="13">
        <f t="shared" ref="AN197:AN228" si="60">+AM197/AK197</f>
        <v>0.13793103448275862</v>
      </c>
      <c r="AO197" s="14">
        <f t="shared" ref="AO197:AO209" si="61">COUNTIF(D197:AI197,"F")</f>
        <v>0</v>
      </c>
      <c r="AP197" s="1" t="s">
        <v>203</v>
      </c>
      <c r="AQ197" s="1" t="str">
        <f t="shared" si="58"/>
        <v>LILIANA ALVARADO</v>
      </c>
      <c r="AR197" s="1">
        <f t="shared" si="52"/>
        <v>16</v>
      </c>
      <c r="AS197" s="1" t="str">
        <f t="shared" si="53"/>
        <v>ALVARADO ECHAIZ</v>
      </c>
      <c r="AT197" s="1">
        <f t="shared" si="55"/>
        <v>9</v>
      </c>
      <c r="AU197" s="1" t="str">
        <f t="shared" si="56"/>
        <v>LILIANA</v>
      </c>
      <c r="AV197" s="1" t="e">
        <f t="shared" si="57"/>
        <v>#VALUE!</v>
      </c>
    </row>
    <row r="198" spans="1:48">
      <c r="A198" s="2" t="s">
        <v>61</v>
      </c>
      <c r="B198" s="2" t="s">
        <v>62</v>
      </c>
      <c r="C198" s="2" t="s">
        <v>63</v>
      </c>
      <c r="D198" s="5">
        <v>6.9444444444444447E-4</v>
      </c>
      <c r="E198" s="5">
        <v>1.5277777777777777E-2</v>
      </c>
      <c r="F198" s="5">
        <v>6.9444444444444447E-4</v>
      </c>
      <c r="G198" s="5">
        <v>0</v>
      </c>
      <c r="H198" s="5">
        <v>4.1666666666666666E-3</v>
      </c>
      <c r="I198" s="5">
        <v>8.3333333333333332E-3</v>
      </c>
      <c r="J198" s="5">
        <v>8.3333333333333332E-3</v>
      </c>
      <c r="K198" s="5">
        <v>0</v>
      </c>
      <c r="L198" s="5">
        <v>2.0833333333333333E-3</v>
      </c>
      <c r="M198" s="5">
        <v>1.3888888888888889E-3</v>
      </c>
      <c r="N198" s="5">
        <v>0</v>
      </c>
      <c r="O198" s="5">
        <v>1.3888888888888889E-3</v>
      </c>
      <c r="P198" s="5">
        <v>6.9444444444444447E-4</v>
      </c>
      <c r="Q198" s="5">
        <v>8.3333333333333332E-3</v>
      </c>
      <c r="R198" s="5">
        <v>6.9444444444444441E-3</v>
      </c>
      <c r="S198" s="5">
        <v>1.1111111111111112E-2</v>
      </c>
      <c r="T198" s="5">
        <v>0</v>
      </c>
      <c r="U198" s="5">
        <v>0</v>
      </c>
      <c r="V198" s="5">
        <v>0</v>
      </c>
      <c r="W198" s="5">
        <v>1.3888888888888889E-3</v>
      </c>
      <c r="X198" s="5">
        <v>2.7777777777777779E-3</v>
      </c>
      <c r="Y198" s="5">
        <v>4.1666666666666666E-3</v>
      </c>
      <c r="Z198" s="5">
        <v>0</v>
      </c>
      <c r="AA198" s="5">
        <v>0</v>
      </c>
      <c r="AB198" s="5">
        <v>0</v>
      </c>
      <c r="AC198" s="5">
        <v>1.3888888888888889E-3</v>
      </c>
      <c r="AD198" s="5">
        <v>0</v>
      </c>
      <c r="AE198" s="5">
        <v>0</v>
      </c>
      <c r="AF198" s="5">
        <v>0</v>
      </c>
      <c r="AJ198" s="1">
        <v>7</v>
      </c>
      <c r="AK198" s="1">
        <f t="shared" si="59"/>
        <v>29</v>
      </c>
      <c r="AL198" s="10">
        <v>6.9444444444444441E-3</v>
      </c>
      <c r="AM198" s="1">
        <f t="shared" si="51"/>
        <v>5</v>
      </c>
      <c r="AN198" s="13">
        <f t="shared" si="60"/>
        <v>0.17241379310344829</v>
      </c>
      <c r="AO198" s="14">
        <f t="shared" si="61"/>
        <v>0</v>
      </c>
      <c r="AP198" s="1" t="s">
        <v>203</v>
      </c>
      <c r="AQ198" s="1" t="str">
        <f t="shared" si="54"/>
        <v>MANUEL MERMA</v>
      </c>
      <c r="AR198" s="1">
        <f t="shared" si="52"/>
        <v>12</v>
      </c>
      <c r="AS198" s="1" t="str">
        <f t="shared" si="53"/>
        <v>MERMA CHILA</v>
      </c>
      <c r="AT198" s="1">
        <f t="shared" si="55"/>
        <v>6</v>
      </c>
      <c r="AU198" s="1" t="str">
        <f t="shared" si="56"/>
        <v>MANUEL ENRIQUE</v>
      </c>
      <c r="AV198" s="1">
        <f t="shared" si="57"/>
        <v>7</v>
      </c>
    </row>
    <row r="199" spans="1:48">
      <c r="A199" s="2" t="s">
        <v>64</v>
      </c>
      <c r="B199" s="2" t="s">
        <v>65</v>
      </c>
      <c r="C199" s="2" t="s">
        <v>66</v>
      </c>
      <c r="D199" s="5">
        <v>0</v>
      </c>
      <c r="E199" s="5">
        <v>4.1666666666666666E-3</v>
      </c>
      <c r="F199" s="5">
        <v>0</v>
      </c>
      <c r="G199" s="5">
        <v>0</v>
      </c>
      <c r="H199" s="2" t="s">
        <v>67</v>
      </c>
      <c r="I199" s="5">
        <v>6.9444444444444447E-4</v>
      </c>
      <c r="J199" s="5">
        <v>6.2500000000000003E-3</v>
      </c>
      <c r="K199" s="5">
        <v>1.0416666666666666E-2</v>
      </c>
      <c r="L199" s="5">
        <v>0</v>
      </c>
      <c r="M199" s="5">
        <v>2.1527777777777778E-2</v>
      </c>
      <c r="N199" s="5">
        <v>0</v>
      </c>
      <c r="O199" s="5">
        <v>1.3888888888888889E-3</v>
      </c>
      <c r="P199" s="5">
        <v>1.8055555555555554E-2</v>
      </c>
      <c r="Q199" s="5">
        <v>6.9444444444444441E-3</v>
      </c>
      <c r="R199" s="5">
        <v>4.8611111111111112E-3</v>
      </c>
      <c r="S199" s="5">
        <v>1.3888888888888889E-3</v>
      </c>
      <c r="T199" s="5">
        <v>0</v>
      </c>
      <c r="U199" s="5">
        <v>0</v>
      </c>
      <c r="V199" s="5">
        <v>1.9444444444444445E-2</v>
      </c>
      <c r="W199" s="5">
        <v>0</v>
      </c>
      <c r="X199" s="5">
        <v>0</v>
      </c>
      <c r="Y199" s="5">
        <v>0</v>
      </c>
      <c r="Z199" s="5">
        <v>6.9444444444444447E-4</v>
      </c>
      <c r="AA199" s="5">
        <v>6.2500000000000003E-3</v>
      </c>
      <c r="AB199" s="5">
        <v>0</v>
      </c>
      <c r="AC199" s="5">
        <v>0</v>
      </c>
      <c r="AD199" s="5">
        <v>4.1666666666666666E-3</v>
      </c>
      <c r="AE199" s="5">
        <v>0</v>
      </c>
      <c r="AF199" s="5">
        <v>0</v>
      </c>
      <c r="AJ199" s="1">
        <v>7</v>
      </c>
      <c r="AK199" s="1">
        <f t="shared" si="59"/>
        <v>29</v>
      </c>
      <c r="AL199" s="10">
        <v>6.9444444444444441E-3</v>
      </c>
      <c r="AM199" s="1">
        <f t="shared" si="51"/>
        <v>4</v>
      </c>
      <c r="AN199" s="13">
        <f t="shared" si="60"/>
        <v>0.13793103448275862</v>
      </c>
      <c r="AO199" s="14">
        <f t="shared" si="61"/>
        <v>0</v>
      </c>
      <c r="AP199" s="1" t="s">
        <v>203</v>
      </c>
      <c r="AQ199" s="1" t="str">
        <f t="shared" si="54"/>
        <v>GRECIA SANCHEZ</v>
      </c>
      <c r="AR199" s="1">
        <f t="shared" si="52"/>
        <v>16</v>
      </c>
      <c r="AS199" s="1" t="str">
        <f t="shared" si="53"/>
        <v>SANCHEZ PANAIFO</v>
      </c>
      <c r="AT199" s="1">
        <f t="shared" si="55"/>
        <v>8</v>
      </c>
      <c r="AU199" s="1" t="str">
        <f t="shared" si="56"/>
        <v>GRECIA DANNAE</v>
      </c>
      <c r="AV199" s="1">
        <f t="shared" si="57"/>
        <v>7</v>
      </c>
    </row>
    <row r="200" spans="1:48">
      <c r="A200" s="2" t="s">
        <v>68</v>
      </c>
      <c r="B200" s="2" t="s">
        <v>69</v>
      </c>
      <c r="C200" s="2" t="s">
        <v>70</v>
      </c>
      <c r="D200" s="5">
        <v>1.3888888888888889E-3</v>
      </c>
      <c r="E200" s="5">
        <v>7.6388888888888886E-3</v>
      </c>
      <c r="F200" s="5">
        <v>2.2222222222222223E-2</v>
      </c>
      <c r="G200" s="5">
        <v>0</v>
      </c>
      <c r="H200" s="5">
        <v>1.3194444444444444E-2</v>
      </c>
      <c r="I200" s="5">
        <v>2.7777777777777779E-3</v>
      </c>
      <c r="J200" s="5">
        <v>3.472222222222222E-3</v>
      </c>
      <c r="K200" s="5">
        <v>2.7777777777777779E-3</v>
      </c>
      <c r="L200" s="5">
        <v>3.472222222222222E-3</v>
      </c>
      <c r="M200" s="5">
        <v>6.9444444444444447E-4</v>
      </c>
      <c r="N200" s="5">
        <v>0</v>
      </c>
      <c r="O200" s="5">
        <v>1.3888888888888889E-3</v>
      </c>
      <c r="P200" s="2" t="s">
        <v>71</v>
      </c>
      <c r="Q200" s="5">
        <v>0</v>
      </c>
      <c r="R200" s="5">
        <v>2.7777777777777779E-3</v>
      </c>
      <c r="S200" s="5">
        <v>2.7777777777777779E-3</v>
      </c>
      <c r="T200" s="2" t="s">
        <v>49</v>
      </c>
      <c r="U200" s="5">
        <v>0</v>
      </c>
      <c r="V200" s="5">
        <v>1.3888888888888889E-3</v>
      </c>
      <c r="W200" s="5">
        <v>1.3888888888888889E-3</v>
      </c>
      <c r="X200" s="5">
        <v>6.9444444444444441E-3</v>
      </c>
      <c r="Y200" s="5">
        <v>2.0833333333333333E-3</v>
      </c>
      <c r="Z200" s="5">
        <v>0</v>
      </c>
      <c r="AA200" s="5">
        <v>0</v>
      </c>
      <c r="AB200" s="5">
        <v>0</v>
      </c>
      <c r="AC200" s="5">
        <v>6.9444444444444447E-4</v>
      </c>
      <c r="AD200" s="5">
        <v>3.472222222222222E-3</v>
      </c>
      <c r="AE200" s="5">
        <v>0</v>
      </c>
      <c r="AF200" s="5">
        <v>0</v>
      </c>
      <c r="AJ200" s="1">
        <v>7</v>
      </c>
      <c r="AK200" s="1">
        <f t="shared" si="59"/>
        <v>29</v>
      </c>
      <c r="AL200" s="10">
        <v>6.9444444444444441E-3</v>
      </c>
      <c r="AM200" s="1">
        <f t="shared" si="51"/>
        <v>3</v>
      </c>
      <c r="AN200" s="13">
        <f t="shared" si="60"/>
        <v>0.10344827586206896</v>
      </c>
      <c r="AO200" s="14">
        <f t="shared" si="61"/>
        <v>1</v>
      </c>
      <c r="AP200" s="1" t="str">
        <f>VLOOKUP(B200,Hoja3!$A$1:$B$14,2,0)</f>
        <v>CESADO</v>
      </c>
      <c r="AQ200" s="1" t="str">
        <f t="shared" si="54"/>
        <v>DIANA CHAVEZ</v>
      </c>
      <c r="AR200" s="1">
        <f t="shared" si="52"/>
        <v>15</v>
      </c>
      <c r="AS200" s="1" t="str">
        <f t="shared" si="53"/>
        <v>CHAVEZ GUILLEN</v>
      </c>
      <c r="AT200" s="1">
        <f t="shared" si="55"/>
        <v>7</v>
      </c>
      <c r="AU200" s="1" t="str">
        <f t="shared" si="56"/>
        <v>DIANA CAROLINA</v>
      </c>
      <c r="AV200" s="1">
        <f t="shared" si="57"/>
        <v>6</v>
      </c>
    </row>
    <row r="201" spans="1:48">
      <c r="A201" s="2" t="s">
        <v>72</v>
      </c>
      <c r="B201" s="2" t="s">
        <v>73</v>
      </c>
      <c r="C201" s="2" t="s">
        <v>74</v>
      </c>
      <c r="D201" s="5">
        <v>2.7777777777777779E-3</v>
      </c>
      <c r="E201" s="5">
        <v>1.3888888888888889E-3</v>
      </c>
      <c r="F201" s="5">
        <v>1.5277777777777777E-2</v>
      </c>
      <c r="G201" s="5">
        <v>0</v>
      </c>
      <c r="H201" s="2" t="s">
        <v>75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J201" s="1">
        <v>7</v>
      </c>
      <c r="AK201" s="1">
        <f t="shared" si="59"/>
        <v>29</v>
      </c>
      <c r="AL201" s="10">
        <v>6.9444444444444441E-3</v>
      </c>
      <c r="AM201" s="1">
        <f>COUNTIF(D201:AI201, "&gt;00:10")</f>
        <v>1</v>
      </c>
      <c r="AN201" s="13">
        <f t="shared" si="60"/>
        <v>3.4482758620689655E-2</v>
      </c>
      <c r="AO201" s="14">
        <f t="shared" si="61"/>
        <v>0</v>
      </c>
      <c r="AP201" s="1" t="s">
        <v>203</v>
      </c>
      <c r="AQ201" s="1" t="str">
        <f t="shared" si="54"/>
        <v>JONATHAN URDAY</v>
      </c>
      <c r="AR201" s="1">
        <f t="shared" si="52"/>
        <v>13</v>
      </c>
      <c r="AS201" s="1" t="str">
        <f t="shared" si="53"/>
        <v>URDAY CHOQUE</v>
      </c>
      <c r="AT201" s="1">
        <f t="shared" si="55"/>
        <v>6</v>
      </c>
      <c r="AU201" s="1" t="str">
        <f t="shared" si="56"/>
        <v>JONATHAN EDGARD</v>
      </c>
      <c r="AV201" s="1">
        <f t="shared" si="57"/>
        <v>9</v>
      </c>
    </row>
    <row r="202" spans="1:48">
      <c r="A202" s="2" t="s">
        <v>76</v>
      </c>
      <c r="B202" s="2" t="s">
        <v>77</v>
      </c>
      <c r="C202" s="2" t="s">
        <v>78</v>
      </c>
      <c r="D202" s="2" t="s">
        <v>79</v>
      </c>
      <c r="E202" s="2" t="s">
        <v>80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J202" s="1">
        <v>7</v>
      </c>
      <c r="AK202" s="1">
        <f t="shared" si="59"/>
        <v>29</v>
      </c>
      <c r="AL202" s="10">
        <v>6.9444444444444441E-3</v>
      </c>
      <c r="AM202" s="1">
        <f t="shared" si="51"/>
        <v>0</v>
      </c>
      <c r="AN202" s="13">
        <f t="shared" si="60"/>
        <v>0</v>
      </c>
      <c r="AO202" s="14">
        <f t="shared" si="61"/>
        <v>0</v>
      </c>
      <c r="AP202" s="1" t="str">
        <f>VLOOKUP(B202,Hoja3!$A$1:$B$14,2,0)</f>
        <v>CESADO</v>
      </c>
      <c r="AQ202" s="1" t="str">
        <f t="shared" si="54"/>
        <v>YAEL ALARCON</v>
      </c>
      <c r="AR202" s="1">
        <f t="shared" si="52"/>
        <v>18</v>
      </c>
      <c r="AS202" s="1" t="str">
        <f t="shared" si="53"/>
        <v>ALARCON MONTALVAN</v>
      </c>
      <c r="AT202" s="1">
        <f t="shared" si="55"/>
        <v>8</v>
      </c>
      <c r="AU202" s="1" t="str">
        <f t="shared" si="56"/>
        <v>YAEL ASHLEY</v>
      </c>
      <c r="AV202" s="1">
        <f t="shared" si="57"/>
        <v>5</v>
      </c>
    </row>
    <row r="203" spans="1:48">
      <c r="A203" s="2" t="s">
        <v>81</v>
      </c>
      <c r="B203" s="2" t="s">
        <v>82</v>
      </c>
      <c r="C203" s="2" t="s">
        <v>83</v>
      </c>
      <c r="D203" s="5">
        <v>1.7361111111111112E-2</v>
      </c>
      <c r="E203" s="5">
        <v>0</v>
      </c>
      <c r="F203" s="5">
        <v>2.7777777777777779E-3</v>
      </c>
      <c r="G203" s="5">
        <v>0</v>
      </c>
      <c r="H203" s="5">
        <v>7.6388888888888886E-3</v>
      </c>
      <c r="I203" s="5">
        <v>0</v>
      </c>
      <c r="J203" s="5">
        <v>0</v>
      </c>
      <c r="K203" s="5">
        <v>5.5555555555555558E-3</v>
      </c>
      <c r="L203" s="5">
        <v>0</v>
      </c>
      <c r="M203" s="5">
        <v>0</v>
      </c>
      <c r="N203" s="5">
        <v>0</v>
      </c>
      <c r="O203" s="5">
        <v>0</v>
      </c>
      <c r="P203" s="5">
        <v>4.1666666666666666E-3</v>
      </c>
      <c r="Q203" s="5">
        <v>0</v>
      </c>
      <c r="R203" s="5">
        <v>0</v>
      </c>
      <c r="S203" s="5">
        <v>2.7777777777777779E-3</v>
      </c>
      <c r="T203" s="5">
        <v>0</v>
      </c>
      <c r="U203" s="5">
        <v>0</v>
      </c>
      <c r="V203" s="5">
        <v>0</v>
      </c>
      <c r="W203" s="5">
        <v>6.9444444444444447E-4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J203" s="1">
        <v>7</v>
      </c>
      <c r="AK203" s="1">
        <f t="shared" si="59"/>
        <v>29</v>
      </c>
      <c r="AL203" s="10">
        <v>6.9444444444444441E-3</v>
      </c>
      <c r="AM203" s="1">
        <f t="shared" si="51"/>
        <v>2</v>
      </c>
      <c r="AN203" s="13">
        <f t="shared" si="60"/>
        <v>6.8965517241379309E-2</v>
      </c>
      <c r="AO203" s="14">
        <f t="shared" si="61"/>
        <v>0</v>
      </c>
      <c r="AP203" s="1" t="s">
        <v>203</v>
      </c>
      <c r="AQ203" s="1" t="str">
        <f t="shared" si="54"/>
        <v>JORGE CORDOVA</v>
      </c>
      <c r="AR203" s="1">
        <f t="shared" si="52"/>
        <v>17</v>
      </c>
      <c r="AS203" s="1" t="str">
        <f t="shared" si="53"/>
        <v>CORDOVA ZEVALLOS</v>
      </c>
      <c r="AT203" s="1">
        <f t="shared" si="55"/>
        <v>8</v>
      </c>
      <c r="AU203" s="1" t="str">
        <f t="shared" si="56"/>
        <v>JORGE ENRIQUE</v>
      </c>
      <c r="AV203" s="1">
        <f t="shared" si="57"/>
        <v>6</v>
      </c>
    </row>
    <row r="204" spans="1:48">
      <c r="A204" s="2" t="s">
        <v>84</v>
      </c>
      <c r="B204" s="2" t="s">
        <v>85</v>
      </c>
      <c r="C204" s="2" t="s">
        <v>86</v>
      </c>
      <c r="D204" s="5">
        <v>1.3888888888888889E-3</v>
      </c>
      <c r="E204" s="5">
        <v>2.7777777777777779E-3</v>
      </c>
      <c r="F204" s="5">
        <v>2.7777777777777779E-3</v>
      </c>
      <c r="G204" s="5">
        <v>0</v>
      </c>
      <c r="H204" s="5">
        <v>6.2500000000000003E-3</v>
      </c>
      <c r="I204" s="5">
        <v>0</v>
      </c>
      <c r="J204" s="5">
        <v>0</v>
      </c>
      <c r="K204" s="5">
        <v>6.9444444444444441E-3</v>
      </c>
      <c r="L204" s="5">
        <v>0</v>
      </c>
      <c r="M204" s="5">
        <v>0</v>
      </c>
      <c r="N204" s="5">
        <v>0</v>
      </c>
      <c r="O204" s="5">
        <v>6.9444444444444447E-4</v>
      </c>
      <c r="P204" s="5">
        <v>3.472222222222222E-3</v>
      </c>
      <c r="Q204" s="5">
        <v>1.3888888888888889E-3</v>
      </c>
      <c r="R204" s="5">
        <v>0</v>
      </c>
      <c r="S204" s="5">
        <v>6.9444444444444447E-4</v>
      </c>
      <c r="T204" s="5">
        <v>0</v>
      </c>
      <c r="U204" s="5">
        <v>0</v>
      </c>
      <c r="V204" s="5">
        <v>1.3888888888888889E-3</v>
      </c>
      <c r="W204" s="5">
        <v>0</v>
      </c>
      <c r="X204" s="5">
        <v>4.8611111111111112E-3</v>
      </c>
      <c r="Y204" s="5">
        <v>0</v>
      </c>
      <c r="Z204" s="5">
        <v>5.5555555555555558E-3</v>
      </c>
      <c r="AA204" s="5">
        <v>2.0833333333333333E-3</v>
      </c>
      <c r="AB204" s="5">
        <v>0</v>
      </c>
      <c r="AC204" s="5">
        <v>2.7777777777777779E-3</v>
      </c>
      <c r="AD204" s="5">
        <v>2.7777777777777779E-3</v>
      </c>
      <c r="AE204" s="5">
        <v>0</v>
      </c>
      <c r="AF204" s="5">
        <v>1.3888888888888889E-3</v>
      </c>
      <c r="AJ204" s="1">
        <v>7</v>
      </c>
      <c r="AK204" s="1">
        <f t="shared" si="59"/>
        <v>29</v>
      </c>
      <c r="AL204" s="10">
        <v>6.9444444444444441E-3</v>
      </c>
      <c r="AM204" s="1">
        <f t="shared" si="51"/>
        <v>0</v>
      </c>
      <c r="AN204" s="13">
        <f t="shared" si="60"/>
        <v>0</v>
      </c>
      <c r="AO204" s="14">
        <f t="shared" si="61"/>
        <v>0</v>
      </c>
      <c r="AP204" s="1" t="s">
        <v>203</v>
      </c>
      <c r="AQ204" s="1" t="str">
        <f t="shared" si="54"/>
        <v>OSCAR PARIAPAZA</v>
      </c>
      <c r="AR204" s="1">
        <f t="shared" si="52"/>
        <v>21</v>
      </c>
      <c r="AS204" s="1" t="str">
        <f t="shared" si="53"/>
        <v>PARIAPAZA DE LA CRUZ</v>
      </c>
      <c r="AT204" s="1">
        <f t="shared" si="55"/>
        <v>10</v>
      </c>
      <c r="AU204" s="1" t="str">
        <f t="shared" si="56"/>
        <v>OSCAR ANTONIO</v>
      </c>
      <c r="AV204" s="1">
        <f t="shared" si="57"/>
        <v>6</v>
      </c>
    </row>
    <row r="205" spans="1:48">
      <c r="A205" s="2" t="s">
        <v>87</v>
      </c>
      <c r="B205" s="2" t="s">
        <v>88</v>
      </c>
      <c r="C205" s="2" t="s">
        <v>89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2.0833333333333333E-3</v>
      </c>
      <c r="R205" s="5">
        <v>2.0833333333333333E-3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1.8055555555555554E-2</v>
      </c>
      <c r="AD205" s="5">
        <v>0</v>
      </c>
      <c r="AE205" s="5">
        <v>0</v>
      </c>
      <c r="AF205" s="5">
        <v>0</v>
      </c>
      <c r="AJ205" s="1">
        <v>7</v>
      </c>
      <c r="AK205" s="1">
        <f t="shared" si="59"/>
        <v>29</v>
      </c>
      <c r="AL205" s="10">
        <v>6.9444444444444441E-3</v>
      </c>
      <c r="AM205" s="1">
        <f t="shared" si="51"/>
        <v>1</v>
      </c>
      <c r="AN205" s="13">
        <f t="shared" si="60"/>
        <v>3.4482758620689655E-2</v>
      </c>
      <c r="AO205" s="14">
        <f t="shared" si="61"/>
        <v>0</v>
      </c>
      <c r="AP205" s="1" t="s">
        <v>203</v>
      </c>
      <c r="AQ205" s="1" t="str">
        <f t="shared" si="54"/>
        <v>ALEXANDER LUJAN</v>
      </c>
      <c r="AR205" s="1">
        <f t="shared" si="52"/>
        <v>17</v>
      </c>
      <c r="AS205" s="1" t="str">
        <f t="shared" si="53"/>
        <v>LUJAN VILCAÑAUPA</v>
      </c>
      <c r="AT205" s="1">
        <f t="shared" si="55"/>
        <v>6</v>
      </c>
      <c r="AU205" s="1" t="str">
        <f t="shared" si="56"/>
        <v>ALEXANDER MATIAS</v>
      </c>
      <c r="AV205" s="1">
        <f t="shared" si="57"/>
        <v>10</v>
      </c>
    </row>
    <row r="206" spans="1:48">
      <c r="A206" s="2" t="s">
        <v>90</v>
      </c>
      <c r="B206" s="2" t="s">
        <v>91</v>
      </c>
      <c r="C206" s="2" t="s">
        <v>92</v>
      </c>
      <c r="D206" s="5">
        <v>2.0833333333333333E-3</v>
      </c>
      <c r="E206" s="5">
        <v>2.0833333333333333E-3</v>
      </c>
      <c r="F206" s="5">
        <v>0</v>
      </c>
      <c r="G206" s="5">
        <v>0</v>
      </c>
      <c r="H206" s="5">
        <v>2.0833333333333333E-3</v>
      </c>
      <c r="I206" s="5">
        <v>1.3888888888888889E-3</v>
      </c>
      <c r="J206" s="5">
        <v>6.9444444444444447E-4</v>
      </c>
      <c r="K206" s="5">
        <v>2.0833333333333333E-3</v>
      </c>
      <c r="L206" s="5">
        <v>3.472222222222222E-3</v>
      </c>
      <c r="M206" s="5">
        <v>0</v>
      </c>
      <c r="N206" s="5">
        <v>0</v>
      </c>
      <c r="O206" s="5">
        <v>0</v>
      </c>
      <c r="P206" s="5">
        <v>1.1805555555555555E-2</v>
      </c>
      <c r="Q206" s="5">
        <v>0</v>
      </c>
      <c r="R206" s="5">
        <v>4.8611111111111112E-3</v>
      </c>
      <c r="S206" s="5">
        <v>6.9444444444444441E-3</v>
      </c>
      <c r="T206" s="5">
        <v>2.0833333333333333E-3</v>
      </c>
      <c r="U206" s="5">
        <v>0</v>
      </c>
      <c r="V206" s="2" t="s">
        <v>49</v>
      </c>
      <c r="W206" s="5">
        <v>6.9444444444444447E-4</v>
      </c>
      <c r="X206" s="5">
        <v>5.5555555555555558E-3</v>
      </c>
      <c r="Y206" s="5">
        <v>6.2500000000000003E-3</v>
      </c>
      <c r="Z206" s="5">
        <v>6.9444444444444447E-4</v>
      </c>
      <c r="AA206" s="5">
        <v>9.7222222222222224E-3</v>
      </c>
      <c r="AB206" s="5">
        <v>0</v>
      </c>
      <c r="AC206" s="5">
        <v>2.7777777777777779E-3</v>
      </c>
      <c r="AD206" s="5">
        <v>9.7222222222222224E-3</v>
      </c>
      <c r="AE206" s="5">
        <v>0</v>
      </c>
      <c r="AF206" s="5">
        <v>0</v>
      </c>
      <c r="AJ206" s="1">
        <v>7</v>
      </c>
      <c r="AK206" s="1">
        <f t="shared" si="59"/>
        <v>29</v>
      </c>
      <c r="AL206" s="10">
        <v>6.9444444444444441E-3</v>
      </c>
      <c r="AM206" s="1">
        <f t="shared" si="51"/>
        <v>3</v>
      </c>
      <c r="AN206" s="13">
        <f t="shared" si="60"/>
        <v>0.10344827586206896</v>
      </c>
      <c r="AO206" s="14">
        <f t="shared" si="61"/>
        <v>1</v>
      </c>
      <c r="AP206" s="1" t="s">
        <v>203</v>
      </c>
      <c r="AQ206" s="1" t="str">
        <f t="shared" si="54"/>
        <v>LEONEL LAURA</v>
      </c>
      <c r="AR206" s="1">
        <f t="shared" si="52"/>
        <v>12</v>
      </c>
      <c r="AS206" s="1" t="str">
        <f t="shared" si="53"/>
        <v>LAURA APAZA</v>
      </c>
      <c r="AT206" s="1">
        <f t="shared" si="55"/>
        <v>6</v>
      </c>
      <c r="AU206" s="1" t="str">
        <f t="shared" si="56"/>
        <v>LEONEL ALEX</v>
      </c>
      <c r="AV206" s="1">
        <f t="shared" si="57"/>
        <v>7</v>
      </c>
    </row>
    <row r="207" spans="1:48">
      <c r="A207" s="2" t="s">
        <v>93</v>
      </c>
      <c r="B207" s="2" t="s">
        <v>94</v>
      </c>
      <c r="C207" s="2" t="s">
        <v>95</v>
      </c>
      <c r="D207" s="5">
        <v>0</v>
      </c>
      <c r="E207" s="5">
        <v>0</v>
      </c>
      <c r="F207" s="5">
        <v>2.7777777777777779E-3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J207" s="1">
        <v>7</v>
      </c>
      <c r="AK207" s="1">
        <f t="shared" si="59"/>
        <v>29</v>
      </c>
      <c r="AL207" s="10">
        <v>6.9444444444444441E-3</v>
      </c>
      <c r="AM207" s="1">
        <f t="shared" si="51"/>
        <v>0</v>
      </c>
      <c r="AN207" s="13">
        <f t="shared" si="60"/>
        <v>0</v>
      </c>
      <c r="AO207" s="14">
        <f t="shared" si="61"/>
        <v>0</v>
      </c>
      <c r="AP207" s="1" t="s">
        <v>203</v>
      </c>
      <c r="AQ207" s="1" t="str">
        <f t="shared" si="54"/>
        <v>DARWIN LAURA</v>
      </c>
      <c r="AR207" s="1">
        <f t="shared" si="52"/>
        <v>14</v>
      </c>
      <c r="AS207" s="1" t="str">
        <f t="shared" si="53"/>
        <v>LAURA VICENTE</v>
      </c>
      <c r="AT207" s="1">
        <f t="shared" si="55"/>
        <v>6</v>
      </c>
      <c r="AU207" s="1" t="str">
        <f t="shared" si="56"/>
        <v>DARWIN FERNANDO</v>
      </c>
      <c r="AV207" s="1">
        <f t="shared" si="57"/>
        <v>7</v>
      </c>
    </row>
    <row r="208" spans="1:48">
      <c r="A208" s="2" t="s">
        <v>96</v>
      </c>
      <c r="B208" s="2" t="s">
        <v>97</v>
      </c>
      <c r="C208" s="2" t="s">
        <v>98</v>
      </c>
      <c r="D208" s="5">
        <v>1.0416666666666666E-2</v>
      </c>
      <c r="E208" s="5">
        <v>1.3194444444444444E-2</v>
      </c>
      <c r="F208" s="5">
        <v>9.0277777777777769E-3</v>
      </c>
      <c r="G208" s="5">
        <v>0</v>
      </c>
      <c r="H208" s="5">
        <v>4.8611111111111112E-3</v>
      </c>
      <c r="I208" s="5">
        <v>2.7777777777777779E-3</v>
      </c>
      <c r="J208" s="5">
        <v>2.0833333333333333E-3</v>
      </c>
      <c r="K208" s="5">
        <v>4.1666666666666666E-3</v>
      </c>
      <c r="L208" s="5">
        <v>9.7222222222222224E-3</v>
      </c>
      <c r="M208" s="5">
        <v>1.3194444444444444E-2</v>
      </c>
      <c r="N208" s="5">
        <v>0</v>
      </c>
      <c r="O208" s="5">
        <v>0</v>
      </c>
      <c r="P208" s="5">
        <v>4.8611111111111112E-3</v>
      </c>
      <c r="Q208" s="5">
        <v>8.3333333333333332E-3</v>
      </c>
      <c r="R208" s="5">
        <v>6.9444444444444441E-3</v>
      </c>
      <c r="S208" s="5">
        <v>1.1111111111111112E-2</v>
      </c>
      <c r="T208" s="5">
        <v>1.3888888888888888E-2</v>
      </c>
      <c r="U208" s="5">
        <v>0</v>
      </c>
      <c r="V208" s="5">
        <v>6.9444444444444441E-3</v>
      </c>
      <c r="W208" s="5">
        <v>4.1666666666666666E-3</v>
      </c>
      <c r="X208" s="5">
        <v>2.7777777777777779E-3</v>
      </c>
      <c r="Y208" s="5">
        <v>3.472222222222222E-3</v>
      </c>
      <c r="Z208" s="5">
        <v>1.3888888888888889E-3</v>
      </c>
      <c r="AA208" s="5">
        <v>1.1805555555555555E-2</v>
      </c>
      <c r="AB208" s="5">
        <v>0</v>
      </c>
      <c r="AC208" s="5">
        <v>1.3888888888888889E-3</v>
      </c>
      <c r="AD208" s="5">
        <v>1.5277777777777777E-2</v>
      </c>
      <c r="AE208" s="5">
        <v>0</v>
      </c>
      <c r="AF208" s="5">
        <v>2.0833333333333333E-3</v>
      </c>
      <c r="AJ208" s="1">
        <v>7</v>
      </c>
      <c r="AK208" s="1">
        <f t="shared" si="59"/>
        <v>29</v>
      </c>
      <c r="AL208" s="10">
        <v>6.9444444444444441E-3</v>
      </c>
      <c r="AM208" s="1">
        <f t="shared" si="51"/>
        <v>10</v>
      </c>
      <c r="AN208" s="13">
        <f t="shared" si="60"/>
        <v>0.34482758620689657</v>
      </c>
      <c r="AO208" s="14">
        <f t="shared" si="61"/>
        <v>0</v>
      </c>
      <c r="AP208" s="1" t="s">
        <v>203</v>
      </c>
      <c r="AQ208" s="1" t="str">
        <f t="shared" si="54"/>
        <v>IMANOL HANCCO</v>
      </c>
      <c r="AR208" s="1">
        <f t="shared" si="52"/>
        <v>12</v>
      </c>
      <c r="AS208" s="1" t="str">
        <f t="shared" si="53"/>
        <v>HANCCO RIOS</v>
      </c>
      <c r="AT208" s="1">
        <f t="shared" si="55"/>
        <v>7</v>
      </c>
      <c r="AU208" s="1" t="str">
        <f t="shared" si="56"/>
        <v>IMANOL HARVI</v>
      </c>
      <c r="AV208" s="1">
        <f t="shared" si="57"/>
        <v>7</v>
      </c>
    </row>
    <row r="209" spans="1:72">
      <c r="A209" s="2" t="s">
        <v>99</v>
      </c>
      <c r="B209" s="2" t="s">
        <v>100</v>
      </c>
      <c r="C209" s="2" t="s">
        <v>101</v>
      </c>
      <c r="D209" s="5">
        <v>2.1527777777777778E-2</v>
      </c>
      <c r="E209" s="5">
        <v>6.9444444444444447E-4</v>
      </c>
      <c r="F209" s="5">
        <v>2.7777777777777779E-3</v>
      </c>
      <c r="G209" s="5">
        <v>0</v>
      </c>
      <c r="H209" s="5">
        <v>1.7361111111111112E-2</v>
      </c>
      <c r="I209" s="5">
        <v>0</v>
      </c>
      <c r="J209" s="5">
        <v>6.2500000000000003E-3</v>
      </c>
      <c r="K209" s="5">
        <v>1.3194444444444444E-2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2.013888888888889E-2</v>
      </c>
      <c r="R209" s="5">
        <v>2.013888888888889E-2</v>
      </c>
      <c r="S209" s="5">
        <v>2.7777777777777779E-3</v>
      </c>
      <c r="T209" s="5">
        <v>0</v>
      </c>
      <c r="U209" s="5">
        <v>0</v>
      </c>
      <c r="V209" s="5">
        <v>1.5277777777777777E-2</v>
      </c>
      <c r="W209" s="5">
        <v>1.3888888888888888E-2</v>
      </c>
      <c r="X209" s="5">
        <v>0</v>
      </c>
      <c r="Y209" s="5">
        <v>0</v>
      </c>
      <c r="Z209" s="5">
        <v>0</v>
      </c>
      <c r="AA209" s="5">
        <v>2.0833333333333333E-3</v>
      </c>
      <c r="AB209" s="5">
        <v>0</v>
      </c>
      <c r="AC209" s="5">
        <v>1.8749999999999999E-2</v>
      </c>
      <c r="AD209" s="5">
        <v>0</v>
      </c>
      <c r="AE209" s="5">
        <v>0</v>
      </c>
      <c r="AF209" s="5">
        <v>1.8749999999999999E-2</v>
      </c>
      <c r="AJ209" s="1">
        <v>7</v>
      </c>
      <c r="AK209" s="1">
        <f t="shared" si="59"/>
        <v>29</v>
      </c>
      <c r="AL209" s="10">
        <v>6.9444444444444441E-3</v>
      </c>
      <c r="AM209" s="1">
        <f t="shared" si="51"/>
        <v>9</v>
      </c>
      <c r="AN209" s="13">
        <f t="shared" si="60"/>
        <v>0.31034482758620691</v>
      </c>
      <c r="AO209" s="14">
        <f t="shared" si="61"/>
        <v>0</v>
      </c>
      <c r="AP209" s="1" t="s">
        <v>203</v>
      </c>
      <c r="AQ209" s="1" t="str">
        <f t="shared" si="54"/>
        <v>STEFANO BORDA</v>
      </c>
      <c r="AR209" s="1">
        <f t="shared" si="52"/>
        <v>13</v>
      </c>
      <c r="AS209" s="1" t="str">
        <f t="shared" si="53"/>
        <v>BORDA BURGOS</v>
      </c>
      <c r="AT209" s="1">
        <f t="shared" si="55"/>
        <v>6</v>
      </c>
      <c r="AU209" s="1" t="str">
        <f t="shared" si="56"/>
        <v>STEFANO PAOLO</v>
      </c>
      <c r="AV209" s="1">
        <f t="shared" si="57"/>
        <v>8</v>
      </c>
    </row>
    <row r="210" spans="1:72">
      <c r="A210" s="19" t="s">
        <v>54</v>
      </c>
      <c r="B210" s="19" t="s">
        <v>55</v>
      </c>
      <c r="C210" s="19" t="s">
        <v>56</v>
      </c>
      <c r="D210" s="20">
        <v>1.2500000000000001E-2</v>
      </c>
      <c r="E210" s="19" t="s">
        <v>195</v>
      </c>
      <c r="F210" s="20">
        <v>0</v>
      </c>
      <c r="G210" s="20">
        <v>0</v>
      </c>
      <c r="H210" s="20">
        <v>0</v>
      </c>
      <c r="I210" s="20">
        <v>1.2500000000000001E-2</v>
      </c>
      <c r="J210" s="20">
        <v>2.0833333333333332E-2</v>
      </c>
      <c r="K210" s="20">
        <v>1.1805555555555555E-2</v>
      </c>
      <c r="L210" s="20">
        <v>3.125E-2</v>
      </c>
      <c r="M210" s="20">
        <v>0</v>
      </c>
      <c r="N210" s="20">
        <v>1.6666666666666666E-2</v>
      </c>
      <c r="O210" s="20">
        <v>1.5277777777777777E-2</v>
      </c>
      <c r="P210" s="20">
        <v>0</v>
      </c>
      <c r="Q210" s="20">
        <v>1.5972222222222221E-2</v>
      </c>
      <c r="R210" s="20">
        <v>7.6388888888888886E-3</v>
      </c>
      <c r="S210" s="20">
        <v>1.6666666666666666E-2</v>
      </c>
      <c r="T210" s="20">
        <v>0</v>
      </c>
      <c r="U210" s="20">
        <v>2.7777777777777776E-2</v>
      </c>
      <c r="V210" s="20">
        <v>5.5555555555555558E-3</v>
      </c>
      <c r="W210" s="19" t="s">
        <v>196</v>
      </c>
      <c r="X210" s="20">
        <v>3.2638888888888891E-2</v>
      </c>
      <c r="Y210" s="20">
        <v>0</v>
      </c>
      <c r="Z210" s="20">
        <v>0</v>
      </c>
      <c r="AA210" s="20">
        <v>0</v>
      </c>
      <c r="AB210" s="20">
        <v>7.6388888888888886E-3</v>
      </c>
      <c r="AC210" s="20">
        <v>2.6388888888888889E-2</v>
      </c>
      <c r="AD210" s="20">
        <v>2.1527777777777778E-2</v>
      </c>
      <c r="AE210" s="20">
        <v>4.027777777777778E-2</v>
      </c>
      <c r="AF210" s="20">
        <v>2.7083333333333334E-2</v>
      </c>
      <c r="AG210" s="20">
        <v>2.013888888888889E-2</v>
      </c>
      <c r="AH210" s="20">
        <v>0</v>
      </c>
      <c r="AI210" s="20">
        <v>2.013888888888889E-2</v>
      </c>
      <c r="AJ210" s="1">
        <v>8</v>
      </c>
      <c r="AK210" s="1">
        <f t="shared" si="59"/>
        <v>32</v>
      </c>
      <c r="AL210" s="23">
        <v>6.9444444444444441E-3</v>
      </c>
      <c r="AM210" s="1">
        <f>COUNTIF(D210:AI210, "&gt;00:10")</f>
        <v>19</v>
      </c>
      <c r="AN210" s="21">
        <f t="shared" ref="AN210:AN233" si="62">+AM210/AK210</f>
        <v>0.59375</v>
      </c>
      <c r="AO210" s="22">
        <v>0</v>
      </c>
      <c r="AP210" s="1" t="s">
        <v>203</v>
      </c>
      <c r="AQ210" s="1" t="str">
        <f>CONCATENATE(AU210," ",(MID(AS210,1,AT210-1)))</f>
        <v>KIMBERLLY AMES</v>
      </c>
      <c r="AR210" s="1">
        <f t="shared" si="52"/>
        <v>14</v>
      </c>
      <c r="AS210" s="1" t="str">
        <f t="shared" si="53"/>
        <v>AMES ESPINOZA</v>
      </c>
      <c r="AT210" s="1">
        <f t="shared" si="55"/>
        <v>5</v>
      </c>
      <c r="AU210" s="1" t="str">
        <f t="shared" si="56"/>
        <v>KIMBERLLY</v>
      </c>
      <c r="AV210" s="1" t="e">
        <f t="shared" si="57"/>
        <v>#VALUE!</v>
      </c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</row>
    <row r="211" spans="1:72">
      <c r="A211" s="19" t="s">
        <v>8</v>
      </c>
      <c r="B211" s="19" t="s">
        <v>9</v>
      </c>
      <c r="C211" s="19" t="s">
        <v>10</v>
      </c>
      <c r="D211" s="20">
        <v>0</v>
      </c>
      <c r="E211" s="20">
        <v>1.8055555555555554E-2</v>
      </c>
      <c r="F211" s="20">
        <v>0</v>
      </c>
      <c r="G211" s="20">
        <v>0</v>
      </c>
      <c r="H211" s="20">
        <v>0</v>
      </c>
      <c r="I211" s="20">
        <v>2.4305555555555556E-2</v>
      </c>
      <c r="J211" s="20">
        <v>2.7777777777777779E-3</v>
      </c>
      <c r="K211" s="20">
        <v>0</v>
      </c>
      <c r="L211" s="20">
        <v>0</v>
      </c>
      <c r="M211" s="20">
        <v>0</v>
      </c>
      <c r="N211" s="20">
        <v>0</v>
      </c>
      <c r="O211" s="20">
        <v>1.0416666666666666E-2</v>
      </c>
      <c r="P211" s="20">
        <v>0</v>
      </c>
      <c r="Q211" s="20">
        <v>5.5555555555555558E-3</v>
      </c>
      <c r="R211" s="20">
        <v>2.2222222222222223E-2</v>
      </c>
      <c r="S211" s="20">
        <v>0</v>
      </c>
      <c r="T211" s="20">
        <v>0</v>
      </c>
      <c r="U211" s="20">
        <v>2.013888888888889E-2</v>
      </c>
      <c r="V211" s="20">
        <v>2.2222222222222223E-2</v>
      </c>
      <c r="W211" s="20">
        <v>1.1805555555555555E-2</v>
      </c>
      <c r="X211" s="20">
        <v>9.7222222222222224E-3</v>
      </c>
      <c r="Y211" s="20">
        <v>2.8472222222222222E-2</v>
      </c>
      <c r="Z211" s="20">
        <v>0</v>
      </c>
      <c r="AA211" s="20">
        <v>0</v>
      </c>
      <c r="AB211" s="20">
        <v>1.5972222222222221E-2</v>
      </c>
      <c r="AC211" s="20">
        <v>2.013888888888889E-2</v>
      </c>
      <c r="AD211" s="20">
        <v>1.5277777777777777E-2</v>
      </c>
      <c r="AE211" s="20">
        <v>2.5000000000000001E-2</v>
      </c>
      <c r="AF211" s="20">
        <v>1.8055555555555554E-2</v>
      </c>
      <c r="AG211" s="20">
        <v>1.1805555555555555E-2</v>
      </c>
      <c r="AH211" s="20">
        <v>0</v>
      </c>
      <c r="AI211" s="20">
        <v>1.9444444444444445E-2</v>
      </c>
      <c r="AJ211" s="1">
        <v>8</v>
      </c>
      <c r="AK211" s="1">
        <f t="shared" ref="AK211:AK233" si="63">COUNTA(D211:AI211)</f>
        <v>32</v>
      </c>
      <c r="AL211" s="23">
        <v>6.9444444444444441E-3</v>
      </c>
      <c r="AM211" s="1">
        <f t="shared" ref="AM211:AM234" si="64">COUNTIF(D211:AI211, "&gt;00:10")</f>
        <v>16</v>
      </c>
      <c r="AN211" s="21">
        <f t="shared" si="62"/>
        <v>0.5</v>
      </c>
      <c r="AO211" s="22">
        <v>0</v>
      </c>
      <c r="AP211" s="1" t="s">
        <v>203</v>
      </c>
      <c r="AQ211" s="1" t="str">
        <f t="shared" si="54"/>
        <v>LOURDES LLANOS</v>
      </c>
      <c r="AR211" s="1">
        <f t="shared" si="52"/>
        <v>13</v>
      </c>
      <c r="AS211" s="1" t="str">
        <f t="shared" si="53"/>
        <v>LLANOS YAURI</v>
      </c>
      <c r="AT211" s="1">
        <f t="shared" si="55"/>
        <v>7</v>
      </c>
      <c r="AU211" s="1" t="str">
        <f t="shared" si="56"/>
        <v>LOURDES LUCIA</v>
      </c>
      <c r="AV211" s="1">
        <f t="shared" si="57"/>
        <v>8</v>
      </c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</row>
    <row r="212" spans="1:72">
      <c r="A212" s="19" t="s">
        <v>20</v>
      </c>
      <c r="B212" s="19" t="s">
        <v>21</v>
      </c>
      <c r="C212" s="19" t="s">
        <v>22</v>
      </c>
      <c r="D212" s="20">
        <v>0</v>
      </c>
      <c r="E212" s="20">
        <v>1.1111111111111112E-2</v>
      </c>
      <c r="F212" s="20">
        <v>0</v>
      </c>
      <c r="G212" s="20">
        <v>0</v>
      </c>
      <c r="H212" s="20">
        <v>0</v>
      </c>
      <c r="I212" s="20">
        <v>0</v>
      </c>
      <c r="J212" s="20">
        <v>1.0416666666666666E-2</v>
      </c>
      <c r="K212" s="20">
        <v>2.0833333333333333E-3</v>
      </c>
      <c r="L212" s="20">
        <v>3.472222222222222E-3</v>
      </c>
      <c r="M212" s="20">
        <v>0</v>
      </c>
      <c r="N212" s="20">
        <v>1.1805555555555555E-2</v>
      </c>
      <c r="O212" s="20">
        <v>1.2500000000000001E-2</v>
      </c>
      <c r="P212" s="20">
        <v>0</v>
      </c>
      <c r="Q212" s="20">
        <v>1.4583333333333334E-2</v>
      </c>
      <c r="R212" s="20">
        <v>1.0416666666666666E-2</v>
      </c>
      <c r="S212" s="20">
        <v>9.0277777777777769E-3</v>
      </c>
      <c r="T212" s="20">
        <v>0</v>
      </c>
      <c r="U212" s="20">
        <v>0</v>
      </c>
      <c r="V212" s="20">
        <v>0</v>
      </c>
      <c r="W212" s="20">
        <v>5.5555555555555558E-3</v>
      </c>
      <c r="X212" s="20">
        <v>1.4583333333333334E-2</v>
      </c>
      <c r="Y212" s="20">
        <v>0</v>
      </c>
      <c r="Z212" s="20">
        <v>9.7222222222222224E-3</v>
      </c>
      <c r="AA212" s="20">
        <v>0</v>
      </c>
      <c r="AB212" s="20">
        <v>1.5972222222222221E-2</v>
      </c>
      <c r="AC212" s="20">
        <v>1.8749999999999999E-2</v>
      </c>
      <c r="AD212" s="20">
        <v>1.0416666666666666E-2</v>
      </c>
      <c r="AE212" s="20">
        <v>1.3888888888888888E-2</v>
      </c>
      <c r="AF212" s="20">
        <v>6.2500000000000003E-3</v>
      </c>
      <c r="AG212" s="20">
        <v>0</v>
      </c>
      <c r="AH212" s="20">
        <v>0</v>
      </c>
      <c r="AI212" s="20">
        <v>1.3888888888888889E-3</v>
      </c>
      <c r="AJ212" s="1">
        <v>8</v>
      </c>
      <c r="AK212" s="1">
        <f t="shared" si="63"/>
        <v>32</v>
      </c>
      <c r="AL212" s="23">
        <v>6.9444444444444441E-3</v>
      </c>
      <c r="AM212" s="1">
        <f t="shared" si="64"/>
        <v>13</v>
      </c>
      <c r="AN212" s="21">
        <f t="shared" si="62"/>
        <v>0.40625</v>
      </c>
      <c r="AO212" s="22">
        <v>0</v>
      </c>
      <c r="AP212" s="1" t="s">
        <v>203</v>
      </c>
      <c r="AQ212" s="1" t="str">
        <f t="shared" si="54"/>
        <v>LUZ CCAMA</v>
      </c>
      <c r="AR212" s="1">
        <f t="shared" si="52"/>
        <v>12</v>
      </c>
      <c r="AS212" s="1" t="str">
        <f t="shared" si="53"/>
        <v>CCAMA ARONI</v>
      </c>
      <c r="AT212" s="1">
        <f t="shared" si="55"/>
        <v>6</v>
      </c>
      <c r="AU212" s="1" t="str">
        <f t="shared" si="56"/>
        <v>LUZ MIRELLA</v>
      </c>
      <c r="AV212" s="1">
        <f t="shared" si="57"/>
        <v>4</v>
      </c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</row>
    <row r="213" spans="1:72">
      <c r="A213" s="19" t="s">
        <v>23</v>
      </c>
      <c r="B213" s="19" t="s">
        <v>24</v>
      </c>
      <c r="C213" s="19" t="s">
        <v>25</v>
      </c>
      <c r="D213" s="20">
        <v>6.9444444444444447E-4</v>
      </c>
      <c r="E213" s="20">
        <v>0</v>
      </c>
      <c r="F213" s="20">
        <v>0</v>
      </c>
      <c r="G213" s="20">
        <v>0</v>
      </c>
      <c r="H213" s="20">
        <v>0</v>
      </c>
      <c r="I213" s="20">
        <v>9.7222222222222224E-3</v>
      </c>
      <c r="J213" s="20">
        <v>7.6388888888888886E-3</v>
      </c>
      <c r="K213" s="19" t="s">
        <v>49</v>
      </c>
      <c r="L213" s="20">
        <v>0</v>
      </c>
      <c r="M213" s="20">
        <v>0</v>
      </c>
      <c r="N213" s="20">
        <v>1.1111111111111112E-2</v>
      </c>
      <c r="O213" s="20">
        <v>1.0416666666666666E-2</v>
      </c>
      <c r="P213" s="20">
        <v>0</v>
      </c>
      <c r="Q213" s="20">
        <v>2.7777777777777779E-3</v>
      </c>
      <c r="R213" s="20">
        <v>4.8611111111111112E-3</v>
      </c>
      <c r="S213" s="20">
        <v>0</v>
      </c>
      <c r="T213" s="20">
        <v>0</v>
      </c>
      <c r="U213" s="20">
        <v>7.6388888888888886E-3</v>
      </c>
      <c r="V213" s="20">
        <v>1.1805555555555555E-2</v>
      </c>
      <c r="W213" s="20">
        <v>1.1805555555555555E-2</v>
      </c>
      <c r="X213" s="20">
        <v>5.5555555555555558E-3</v>
      </c>
      <c r="Y213" s="20">
        <v>1.1111111111111112E-2</v>
      </c>
      <c r="Z213" s="20">
        <v>5.5555555555555558E-3</v>
      </c>
      <c r="AA213" s="20">
        <v>0</v>
      </c>
      <c r="AB213" s="19" t="s">
        <v>49</v>
      </c>
      <c r="AC213" s="20">
        <v>1.3888888888888889E-3</v>
      </c>
      <c r="AD213" s="20">
        <v>2.2222222222222223E-2</v>
      </c>
      <c r="AE213" s="20">
        <v>1.3888888888888888E-2</v>
      </c>
      <c r="AF213" s="20">
        <v>2.0833333333333332E-2</v>
      </c>
      <c r="AG213" s="20">
        <v>1.3888888888888889E-3</v>
      </c>
      <c r="AH213" s="20">
        <v>0</v>
      </c>
      <c r="AI213" s="20">
        <v>9.7222222222222224E-3</v>
      </c>
      <c r="AJ213" s="1">
        <v>8</v>
      </c>
      <c r="AK213" s="1">
        <f t="shared" si="63"/>
        <v>32</v>
      </c>
      <c r="AL213" s="23">
        <v>6.9444444444444441E-3</v>
      </c>
      <c r="AM213" s="1">
        <f t="shared" si="64"/>
        <v>12</v>
      </c>
      <c r="AN213" s="21">
        <f t="shared" si="62"/>
        <v>0.375</v>
      </c>
      <c r="AO213" s="22">
        <v>2</v>
      </c>
      <c r="AP213" s="1" t="s">
        <v>201</v>
      </c>
      <c r="AQ213" s="1" t="str">
        <f t="shared" si="54"/>
        <v>ANDREA CAYCHO</v>
      </c>
      <c r="AR213" s="1">
        <f t="shared" si="52"/>
        <v>14</v>
      </c>
      <c r="AS213" s="1" t="str">
        <f t="shared" si="53"/>
        <v>CAYCHO HUANCA</v>
      </c>
      <c r="AT213" s="1">
        <f t="shared" si="55"/>
        <v>7</v>
      </c>
      <c r="AU213" s="1" t="str">
        <f t="shared" si="56"/>
        <v>ANDREA ALESSANDRA</v>
      </c>
      <c r="AV213" s="1">
        <f t="shared" si="57"/>
        <v>7</v>
      </c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</row>
    <row r="214" spans="1:72">
      <c r="A214" s="19" t="s">
        <v>58</v>
      </c>
      <c r="B214" s="19" t="s">
        <v>59</v>
      </c>
      <c r="C214" s="19" t="s">
        <v>60</v>
      </c>
      <c r="D214" s="20">
        <v>2.7777777777777779E-3</v>
      </c>
      <c r="E214" s="20">
        <v>6.9444444444444447E-4</v>
      </c>
      <c r="F214" s="20">
        <v>0</v>
      </c>
      <c r="G214" s="20">
        <v>0</v>
      </c>
      <c r="H214" s="20">
        <v>0</v>
      </c>
      <c r="I214" s="20">
        <v>5.5555555555555558E-3</v>
      </c>
      <c r="J214" s="20">
        <v>1.1805555555555555E-2</v>
      </c>
      <c r="K214" s="20">
        <v>6.2500000000000003E-3</v>
      </c>
      <c r="L214" s="20">
        <v>9.0277777777777769E-3</v>
      </c>
      <c r="M214" s="20">
        <v>0</v>
      </c>
      <c r="N214" s="20">
        <v>1.0416666666666666E-2</v>
      </c>
      <c r="O214" s="20">
        <v>1.2500000000000001E-2</v>
      </c>
      <c r="P214" s="20">
        <v>0</v>
      </c>
      <c r="Q214" s="20">
        <v>1.3888888888888888E-2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  <c r="X214" s="20">
        <v>2.7777777777777779E-3</v>
      </c>
      <c r="Y214" s="20">
        <v>7.6388888888888886E-3</v>
      </c>
      <c r="Z214" s="20">
        <v>2.7777777777777779E-3</v>
      </c>
      <c r="AA214" s="20">
        <v>0</v>
      </c>
      <c r="AB214" s="20">
        <v>1.0416666666666666E-2</v>
      </c>
      <c r="AC214" s="20">
        <v>8.3333333333333332E-3</v>
      </c>
      <c r="AD214" s="20">
        <v>1.1111111111111112E-2</v>
      </c>
      <c r="AE214" s="20">
        <v>7.6388888888888886E-3</v>
      </c>
      <c r="AF214" s="20">
        <v>1.6666666666666666E-2</v>
      </c>
      <c r="AG214" s="20">
        <v>4.1666666666666666E-3</v>
      </c>
      <c r="AH214" s="20">
        <v>0</v>
      </c>
      <c r="AI214" s="20">
        <v>0</v>
      </c>
      <c r="AJ214" s="1">
        <v>8</v>
      </c>
      <c r="AK214" s="1">
        <f t="shared" si="63"/>
        <v>32</v>
      </c>
      <c r="AL214" s="23">
        <v>6.9444444444444441E-3</v>
      </c>
      <c r="AM214" s="1">
        <f t="shared" si="64"/>
        <v>11</v>
      </c>
      <c r="AN214" s="21">
        <f t="shared" si="62"/>
        <v>0.34375</v>
      </c>
      <c r="AO214" s="22">
        <v>0</v>
      </c>
      <c r="AP214" s="1" t="s">
        <v>203</v>
      </c>
      <c r="AQ214" s="1" t="str">
        <f>CONCATENATE(AU214," ",(MID(AS214,1,AT214-1)))</f>
        <v>LILIANA ALVARADO</v>
      </c>
      <c r="AR214" s="1">
        <f t="shared" si="52"/>
        <v>16</v>
      </c>
      <c r="AS214" s="1" t="str">
        <f t="shared" si="53"/>
        <v>ALVARADO ECHAIZ</v>
      </c>
      <c r="AT214" s="1">
        <f t="shared" si="55"/>
        <v>9</v>
      </c>
      <c r="AU214" s="1" t="str">
        <f t="shared" si="56"/>
        <v>LILIANA</v>
      </c>
      <c r="AV214" s="1" t="e">
        <f t="shared" si="57"/>
        <v>#VALUE!</v>
      </c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</row>
    <row r="215" spans="1:72">
      <c r="A215" s="19" t="s">
        <v>26</v>
      </c>
      <c r="B215" s="19" t="s">
        <v>27</v>
      </c>
      <c r="C215" s="19" t="s">
        <v>28</v>
      </c>
      <c r="D215" s="20">
        <v>7.6388888888888886E-3</v>
      </c>
      <c r="E215" s="20">
        <v>0</v>
      </c>
      <c r="F215" s="20">
        <v>0</v>
      </c>
      <c r="G215" s="20">
        <v>0</v>
      </c>
      <c r="H215" s="20">
        <v>0</v>
      </c>
      <c r="I215" s="20">
        <v>4.8611111111111112E-3</v>
      </c>
      <c r="J215" s="20">
        <v>1.3194444444444444E-2</v>
      </c>
      <c r="K215" s="20">
        <v>6.9444444444444447E-4</v>
      </c>
      <c r="L215" s="20">
        <v>0</v>
      </c>
      <c r="M215" s="20">
        <v>0</v>
      </c>
      <c r="N215" s="20">
        <v>0</v>
      </c>
      <c r="O215" s="20">
        <v>1.8055555555555554E-2</v>
      </c>
      <c r="P215" s="20">
        <v>0</v>
      </c>
      <c r="Q215" s="20">
        <v>8.3333333333333332E-3</v>
      </c>
      <c r="R215" s="20">
        <v>0</v>
      </c>
      <c r="S215" s="20">
        <v>5.5555555555555558E-3</v>
      </c>
      <c r="T215" s="20">
        <v>0</v>
      </c>
      <c r="U215" s="20">
        <v>9.7222222222222224E-3</v>
      </c>
      <c r="V215" s="20">
        <v>3.472222222222222E-3</v>
      </c>
      <c r="W215" s="20">
        <v>1.1805555555555555E-2</v>
      </c>
      <c r="X215" s="20">
        <v>4.1666666666666666E-3</v>
      </c>
      <c r="Y215" s="20">
        <v>1.3888888888888888E-2</v>
      </c>
      <c r="Z215" s="20">
        <v>0</v>
      </c>
      <c r="AA215" s="20">
        <v>0</v>
      </c>
      <c r="AB215" s="20">
        <v>0</v>
      </c>
      <c r="AC215" s="20">
        <v>5.5555555555555558E-3</v>
      </c>
      <c r="AD215" s="19" t="s">
        <v>120</v>
      </c>
      <c r="AE215" s="20">
        <v>1.1111111111111112E-2</v>
      </c>
      <c r="AF215" s="19" t="s">
        <v>47</v>
      </c>
      <c r="AG215" s="20">
        <v>8.3333333333333332E-3</v>
      </c>
      <c r="AH215" s="20">
        <v>0</v>
      </c>
      <c r="AI215" s="20">
        <v>1.1805555555555555E-2</v>
      </c>
      <c r="AJ215" s="1">
        <v>8</v>
      </c>
      <c r="AK215" s="1">
        <f t="shared" si="63"/>
        <v>32</v>
      </c>
      <c r="AL215" s="23">
        <v>6.9444444444444441E-3</v>
      </c>
      <c r="AM215" s="1">
        <f t="shared" si="64"/>
        <v>10</v>
      </c>
      <c r="AN215" s="21">
        <f t="shared" si="62"/>
        <v>0.3125</v>
      </c>
      <c r="AO215" s="22">
        <v>0</v>
      </c>
      <c r="AP215" s="1" t="s">
        <v>201</v>
      </c>
      <c r="AQ215" s="1" t="str">
        <f t="shared" si="54"/>
        <v>ANGELICA PRETELL</v>
      </c>
      <c r="AR215" s="1">
        <f t="shared" si="52"/>
        <v>16</v>
      </c>
      <c r="AS215" s="1" t="str">
        <f t="shared" si="53"/>
        <v>PRETELL PINTADO</v>
      </c>
      <c r="AT215" s="1">
        <f t="shared" si="55"/>
        <v>8</v>
      </c>
      <c r="AU215" s="1" t="str">
        <f t="shared" si="56"/>
        <v>ANGELICA DIANA</v>
      </c>
      <c r="AV215" s="1">
        <f t="shared" si="57"/>
        <v>9</v>
      </c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</row>
    <row r="216" spans="1:72">
      <c r="A216" s="19" t="s">
        <v>84</v>
      </c>
      <c r="B216" s="19" t="s">
        <v>85</v>
      </c>
      <c r="C216" s="19" t="s">
        <v>86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19" t="s">
        <v>197</v>
      </c>
      <c r="J216" s="20">
        <v>4.1666666666666666E-3</v>
      </c>
      <c r="K216" s="20">
        <v>1.1111111111111112E-2</v>
      </c>
      <c r="L216" s="20">
        <v>1.3888888888888888E-2</v>
      </c>
      <c r="M216" s="20">
        <v>0</v>
      </c>
      <c r="N216" s="20">
        <v>1.0416666666666666E-2</v>
      </c>
      <c r="O216" s="20">
        <v>2.0833333333333332E-2</v>
      </c>
      <c r="P216" s="20">
        <v>0</v>
      </c>
      <c r="Q216" s="20">
        <v>4.8611111111111112E-3</v>
      </c>
      <c r="R216" s="20">
        <v>8.3333333333333332E-3</v>
      </c>
      <c r="S216" s="20">
        <v>1.3888888888888889E-3</v>
      </c>
      <c r="T216" s="20">
        <v>0</v>
      </c>
      <c r="U216" s="20">
        <v>8.3333333333333332E-3</v>
      </c>
      <c r="V216" s="20">
        <v>6.9444444444444441E-3</v>
      </c>
      <c r="W216" s="20">
        <v>5.5555555555555558E-3</v>
      </c>
      <c r="X216" s="20">
        <v>1.1805555555555555E-2</v>
      </c>
      <c r="Y216" s="20">
        <v>1.0416666666666666E-2</v>
      </c>
      <c r="Z216" s="20">
        <v>6.9444444444444447E-4</v>
      </c>
      <c r="AA216" s="20">
        <v>0</v>
      </c>
      <c r="AB216" s="20">
        <v>3.472222222222222E-3</v>
      </c>
      <c r="AC216" s="20">
        <v>6.9444444444444441E-3</v>
      </c>
      <c r="AD216" s="20">
        <v>6.2500000000000003E-3</v>
      </c>
      <c r="AE216" s="20">
        <v>1.3194444444444444E-2</v>
      </c>
      <c r="AF216" s="20">
        <v>1.0416666666666666E-2</v>
      </c>
      <c r="AG216" s="20">
        <v>1.3888888888888889E-3</v>
      </c>
      <c r="AH216" s="20">
        <v>0</v>
      </c>
      <c r="AI216" s="20">
        <v>3.472222222222222E-3</v>
      </c>
      <c r="AJ216" s="1">
        <v>8</v>
      </c>
      <c r="AK216" s="1">
        <f t="shared" si="63"/>
        <v>32</v>
      </c>
      <c r="AL216" s="23">
        <v>6.9444444444444441E-3</v>
      </c>
      <c r="AM216" s="1">
        <f t="shared" si="64"/>
        <v>10</v>
      </c>
      <c r="AN216" s="21">
        <f t="shared" si="62"/>
        <v>0.3125</v>
      </c>
      <c r="AO216" s="22">
        <v>0</v>
      </c>
      <c r="AP216" s="1" t="s">
        <v>203</v>
      </c>
      <c r="AQ216" s="1" t="str">
        <f t="shared" si="54"/>
        <v>OSCAR PARIAPAZA</v>
      </c>
      <c r="AR216" s="1">
        <f t="shared" si="52"/>
        <v>21</v>
      </c>
      <c r="AS216" s="1" t="str">
        <f t="shared" si="53"/>
        <v>PARIAPAZA DE LA CRUZ</v>
      </c>
      <c r="AT216" s="1">
        <f t="shared" si="55"/>
        <v>10</v>
      </c>
      <c r="AU216" s="1" t="str">
        <f t="shared" si="56"/>
        <v>OSCAR ANTONIO</v>
      </c>
      <c r="AV216" s="1">
        <f t="shared" si="57"/>
        <v>6</v>
      </c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</row>
    <row r="217" spans="1:72">
      <c r="A217" s="19" t="s">
        <v>3</v>
      </c>
      <c r="B217" s="19" t="s">
        <v>4</v>
      </c>
      <c r="C217" s="19" t="s">
        <v>5</v>
      </c>
      <c r="D217" s="20">
        <v>0</v>
      </c>
      <c r="E217" s="20">
        <v>0</v>
      </c>
      <c r="F217" s="20">
        <v>0</v>
      </c>
      <c r="G217" s="20">
        <v>0</v>
      </c>
      <c r="H217" s="20">
        <v>0</v>
      </c>
      <c r="I217" s="20">
        <v>1.6666666666666666E-2</v>
      </c>
      <c r="J217" s="20">
        <v>1.8749999999999999E-2</v>
      </c>
      <c r="K217" s="20">
        <v>1.3888888888888889E-3</v>
      </c>
      <c r="L217" s="20">
        <v>0</v>
      </c>
      <c r="M217" s="20">
        <v>0</v>
      </c>
      <c r="N217" s="20">
        <v>2.0833333333333332E-2</v>
      </c>
      <c r="O217" s="20">
        <v>0</v>
      </c>
      <c r="P217" s="20">
        <v>0</v>
      </c>
      <c r="Q217" s="20">
        <v>2.0833333333333333E-3</v>
      </c>
      <c r="R217" s="20">
        <v>1.3888888888888889E-3</v>
      </c>
      <c r="S217" s="20">
        <v>2.7777777777777779E-3</v>
      </c>
      <c r="T217" s="20">
        <v>0</v>
      </c>
      <c r="U217" s="20">
        <v>1.9444444444444445E-2</v>
      </c>
      <c r="V217" s="20">
        <v>9.0277777777777769E-3</v>
      </c>
      <c r="W217" s="20">
        <v>0</v>
      </c>
      <c r="X217" s="20">
        <v>0</v>
      </c>
      <c r="Y217" s="20">
        <v>0</v>
      </c>
      <c r="Z217" s="20">
        <v>8.3333333333333332E-3</v>
      </c>
      <c r="AA217" s="20">
        <v>0</v>
      </c>
      <c r="AB217" s="20">
        <v>3.5416666666666666E-2</v>
      </c>
      <c r="AC217" s="20">
        <v>1.3888888888888888E-2</v>
      </c>
      <c r="AD217" s="20">
        <v>4.1666666666666666E-3</v>
      </c>
      <c r="AE217" s="20">
        <v>3.9583333333333331E-2</v>
      </c>
      <c r="AF217" s="20">
        <v>1.3888888888888889E-3</v>
      </c>
      <c r="AG217" s="20">
        <v>0</v>
      </c>
      <c r="AH217" s="20">
        <v>0</v>
      </c>
      <c r="AI217" s="20">
        <v>0</v>
      </c>
      <c r="AJ217" s="1">
        <v>8</v>
      </c>
      <c r="AK217" s="1">
        <f t="shared" si="63"/>
        <v>32</v>
      </c>
      <c r="AL217" s="23">
        <v>6.9444444444444441E-3</v>
      </c>
      <c r="AM217" s="1">
        <f t="shared" si="64"/>
        <v>9</v>
      </c>
      <c r="AN217" s="21">
        <f t="shared" si="62"/>
        <v>0.28125</v>
      </c>
      <c r="AO217" s="22">
        <v>0</v>
      </c>
      <c r="AP217" s="1" t="s">
        <v>203</v>
      </c>
      <c r="AQ217" s="1" t="str">
        <f t="shared" si="54"/>
        <v>ROCIO CACERES</v>
      </c>
      <c r="AR217" s="1">
        <f t="shared" si="52"/>
        <v>16</v>
      </c>
      <c r="AS217" s="1" t="str">
        <f t="shared" si="53"/>
        <v>CACERES CORDOVA</v>
      </c>
      <c r="AT217" s="1">
        <f t="shared" si="55"/>
        <v>8</v>
      </c>
      <c r="AU217" s="1" t="str">
        <f t="shared" si="56"/>
        <v>ROCIO SANDRA</v>
      </c>
      <c r="AV217" s="1">
        <f t="shared" si="57"/>
        <v>6</v>
      </c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</row>
    <row r="218" spans="1:72">
      <c r="A218" s="19" t="s">
        <v>29</v>
      </c>
      <c r="B218" s="19" t="s">
        <v>30</v>
      </c>
      <c r="C218" s="19" t="s">
        <v>31</v>
      </c>
      <c r="D218" s="19" t="s">
        <v>49</v>
      </c>
      <c r="E218" s="19" t="s">
        <v>49</v>
      </c>
      <c r="F218" s="20">
        <v>0</v>
      </c>
      <c r="G218" s="20">
        <v>0</v>
      </c>
      <c r="H218" s="20">
        <v>0</v>
      </c>
      <c r="I218" s="19" t="s">
        <v>120</v>
      </c>
      <c r="J218" s="20">
        <v>0</v>
      </c>
      <c r="K218" s="20">
        <v>0</v>
      </c>
      <c r="L218" s="20">
        <v>1.1805555555555555E-2</v>
      </c>
      <c r="M218" s="20">
        <v>0</v>
      </c>
      <c r="N218" s="20">
        <v>0</v>
      </c>
      <c r="O218" s="20">
        <v>1.1111111111111112E-2</v>
      </c>
      <c r="P218" s="20">
        <v>0</v>
      </c>
      <c r="Q218" s="20">
        <v>0</v>
      </c>
      <c r="R218" s="20">
        <v>0</v>
      </c>
      <c r="S218" s="20">
        <v>3.472222222222222E-3</v>
      </c>
      <c r="T218" s="20">
        <v>0</v>
      </c>
      <c r="U218" s="20">
        <v>0</v>
      </c>
      <c r="V218" s="20">
        <v>4.1666666666666666E-3</v>
      </c>
      <c r="W218" s="20">
        <v>2.013888888888889E-2</v>
      </c>
      <c r="X218" s="20">
        <v>1.6666666666666666E-2</v>
      </c>
      <c r="Y218" s="20">
        <v>1.1805555555555555E-2</v>
      </c>
      <c r="Z218" s="20">
        <v>1.5972222222222221E-2</v>
      </c>
      <c r="AA218" s="20">
        <v>0</v>
      </c>
      <c r="AB218" s="20">
        <v>0</v>
      </c>
      <c r="AC218" s="20">
        <v>8.3333333333333332E-3</v>
      </c>
      <c r="AD218" s="20">
        <v>5.5555555555555558E-3</v>
      </c>
      <c r="AE218" s="20">
        <v>2.7777777777777779E-3</v>
      </c>
      <c r="AF218" s="20">
        <v>3.2638888888888891E-2</v>
      </c>
      <c r="AG218" s="20">
        <v>0</v>
      </c>
      <c r="AH218" s="20">
        <v>0</v>
      </c>
      <c r="AI218" s="20">
        <v>2.0833333333333333E-3</v>
      </c>
      <c r="AJ218" s="1">
        <v>8</v>
      </c>
      <c r="AK218" s="1">
        <f t="shared" si="63"/>
        <v>32</v>
      </c>
      <c r="AL218" s="23">
        <v>6.9444444444444441E-3</v>
      </c>
      <c r="AM218" s="1">
        <f t="shared" si="64"/>
        <v>8</v>
      </c>
      <c r="AN218" s="21">
        <f t="shared" si="62"/>
        <v>0.25</v>
      </c>
      <c r="AO218" s="22">
        <v>2</v>
      </c>
      <c r="AP218" s="1" t="s">
        <v>203</v>
      </c>
      <c r="AQ218" s="1" t="str">
        <f t="shared" si="54"/>
        <v>CARLOS LOPEZ</v>
      </c>
      <c r="AR218" s="1">
        <f t="shared" si="52"/>
        <v>13</v>
      </c>
      <c r="AS218" s="1" t="str">
        <f t="shared" si="53"/>
        <v>LOPEZ FARIAS</v>
      </c>
      <c r="AT218" s="1">
        <f t="shared" si="55"/>
        <v>6</v>
      </c>
      <c r="AU218" s="1" t="str">
        <f t="shared" si="56"/>
        <v>CARLOS JOAQUIN</v>
      </c>
      <c r="AV218" s="1">
        <f t="shared" si="57"/>
        <v>7</v>
      </c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</row>
    <row r="219" spans="1:72">
      <c r="A219" s="19" t="s">
        <v>96</v>
      </c>
      <c r="B219" s="19" t="s">
        <v>97</v>
      </c>
      <c r="C219" s="19" t="s">
        <v>98</v>
      </c>
      <c r="D219" s="20">
        <v>3.472222222222222E-3</v>
      </c>
      <c r="E219" s="20">
        <v>2.1527777777777778E-2</v>
      </c>
      <c r="F219" s="20">
        <v>0</v>
      </c>
      <c r="G219" s="20">
        <v>0</v>
      </c>
      <c r="H219" s="20">
        <v>0</v>
      </c>
      <c r="I219" s="19" t="s">
        <v>49</v>
      </c>
      <c r="J219" s="20">
        <v>2.0833333333333333E-3</v>
      </c>
      <c r="K219" s="20">
        <v>2.0833333333333333E-3</v>
      </c>
      <c r="L219" s="20">
        <v>0</v>
      </c>
      <c r="M219" s="20">
        <v>0</v>
      </c>
      <c r="N219" s="20">
        <v>2.7777777777777779E-3</v>
      </c>
      <c r="O219" s="20">
        <v>2.7777777777777779E-3</v>
      </c>
      <c r="P219" s="20">
        <v>0</v>
      </c>
      <c r="Q219" s="20">
        <v>4.8611111111111112E-3</v>
      </c>
      <c r="R219" s="20">
        <v>4.1666666666666666E-3</v>
      </c>
      <c r="S219" s="20">
        <v>1.7361111111111112E-2</v>
      </c>
      <c r="T219" s="20">
        <v>0</v>
      </c>
      <c r="U219" s="20">
        <v>1.3194444444444444E-2</v>
      </c>
      <c r="V219" s="20">
        <v>1.1111111111111112E-2</v>
      </c>
      <c r="W219" s="20">
        <v>6.2500000000000003E-3</v>
      </c>
      <c r="X219" s="20">
        <v>1.6666666666666666E-2</v>
      </c>
      <c r="Y219" s="20">
        <v>0</v>
      </c>
      <c r="Z219" s="20">
        <v>5.5555555555555558E-3</v>
      </c>
      <c r="AA219" s="20">
        <v>0</v>
      </c>
      <c r="AB219" s="20">
        <v>4.1666666666666666E-3</v>
      </c>
      <c r="AC219" s="19" t="s">
        <v>49</v>
      </c>
      <c r="AD219" s="20">
        <v>9.7222222222222224E-3</v>
      </c>
      <c r="AE219" s="20">
        <v>7.6388888888888886E-3</v>
      </c>
      <c r="AF219" s="20">
        <v>2.0833333333333332E-2</v>
      </c>
      <c r="AG219" s="20">
        <v>5.5555555555555558E-3</v>
      </c>
      <c r="AH219" s="20">
        <v>0</v>
      </c>
      <c r="AI219" s="20">
        <v>6.2500000000000003E-3</v>
      </c>
      <c r="AJ219" s="1">
        <v>8</v>
      </c>
      <c r="AK219" s="1">
        <f t="shared" si="63"/>
        <v>32</v>
      </c>
      <c r="AL219" s="23">
        <v>6.9444444444444441E-3</v>
      </c>
      <c r="AM219" s="1">
        <f t="shared" si="64"/>
        <v>8</v>
      </c>
      <c r="AN219" s="21">
        <f t="shared" si="62"/>
        <v>0.25</v>
      </c>
      <c r="AO219" s="22">
        <v>2</v>
      </c>
      <c r="AP219" s="1" t="s">
        <v>203</v>
      </c>
      <c r="AQ219" s="1" t="str">
        <f t="shared" si="54"/>
        <v>IMANOL HANCCO</v>
      </c>
      <c r="AR219" s="1">
        <f t="shared" si="52"/>
        <v>12</v>
      </c>
      <c r="AS219" s="1" t="str">
        <f t="shared" si="53"/>
        <v>HANCCO RIOS</v>
      </c>
      <c r="AT219" s="1">
        <f t="shared" si="55"/>
        <v>7</v>
      </c>
      <c r="AU219" s="1" t="str">
        <f t="shared" si="56"/>
        <v>IMANOL HARVI</v>
      </c>
      <c r="AV219" s="1">
        <f t="shared" si="57"/>
        <v>7</v>
      </c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</row>
    <row r="220" spans="1:72">
      <c r="A220" s="19" t="s">
        <v>11</v>
      </c>
      <c r="B220" s="19" t="s">
        <v>12</v>
      </c>
      <c r="C220" s="19" t="s">
        <v>13</v>
      </c>
      <c r="D220" s="20">
        <v>0</v>
      </c>
      <c r="E220" s="20">
        <v>6.9444444444444447E-4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3.472222222222222E-3</v>
      </c>
      <c r="R220" s="20">
        <v>4.8611111111111112E-3</v>
      </c>
      <c r="S220" s="20">
        <v>0</v>
      </c>
      <c r="T220" s="20">
        <v>0</v>
      </c>
      <c r="U220" s="20">
        <v>2.0833333333333333E-3</v>
      </c>
      <c r="V220" s="20">
        <v>1.6666666666666666E-2</v>
      </c>
      <c r="W220" s="20">
        <v>2.7777777777777779E-3</v>
      </c>
      <c r="X220" s="20">
        <v>0</v>
      </c>
      <c r="Y220" s="20">
        <v>2.0833333333333332E-2</v>
      </c>
      <c r="Z220" s="20">
        <v>2.7777777777777779E-3</v>
      </c>
      <c r="AA220" s="20">
        <v>0</v>
      </c>
      <c r="AB220" s="19" t="s">
        <v>51</v>
      </c>
      <c r="AC220" s="20">
        <v>1.8055555555555554E-2</v>
      </c>
      <c r="AD220" s="20">
        <v>1.5972222222222221E-2</v>
      </c>
      <c r="AE220" s="20">
        <v>3.0555555555555555E-2</v>
      </c>
      <c r="AF220" s="20">
        <v>2.2222222222222223E-2</v>
      </c>
      <c r="AG220" s="20">
        <v>6.9444444444444441E-3</v>
      </c>
      <c r="AH220" s="20">
        <v>0</v>
      </c>
      <c r="AI220" s="20">
        <v>1.9444444444444445E-2</v>
      </c>
      <c r="AJ220" s="1">
        <v>8</v>
      </c>
      <c r="AK220" s="1">
        <f t="shared" si="63"/>
        <v>32</v>
      </c>
      <c r="AL220" s="23">
        <v>6.9444444444444441E-3</v>
      </c>
      <c r="AM220" s="1">
        <f t="shared" si="64"/>
        <v>7</v>
      </c>
      <c r="AN220" s="21">
        <f t="shared" si="62"/>
        <v>0.21875</v>
      </c>
      <c r="AO220" s="22">
        <v>0</v>
      </c>
      <c r="AP220" s="1" t="s">
        <v>203</v>
      </c>
      <c r="AQ220" s="1" t="str">
        <f>CONCATENATE(AU220," ",(MID(AS220,1,AT220-1)))</f>
        <v>MARIELLA TICLLA</v>
      </c>
      <c r="AR220" s="1">
        <f t="shared" si="52"/>
        <v>13</v>
      </c>
      <c r="AS220" s="1" t="str">
        <f t="shared" si="53"/>
        <v>TICLLA RAMOS</v>
      </c>
      <c r="AT220" s="1">
        <f t="shared" si="55"/>
        <v>7</v>
      </c>
      <c r="AU220" s="1" t="str">
        <f t="shared" si="56"/>
        <v>MARIELLA</v>
      </c>
      <c r="AV220" s="1" t="e">
        <f t="shared" si="57"/>
        <v>#VALUE!</v>
      </c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</row>
    <row r="221" spans="1:72">
      <c r="A221" s="19" t="s">
        <v>81</v>
      </c>
      <c r="B221" s="19" t="s">
        <v>82</v>
      </c>
      <c r="C221" s="19" t="s">
        <v>83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1.5972222222222221E-2</v>
      </c>
      <c r="M221" s="20">
        <v>0</v>
      </c>
      <c r="N221" s="20">
        <v>6.9444444444444447E-4</v>
      </c>
      <c r="O221" s="20">
        <v>1.1805555555555555E-2</v>
      </c>
      <c r="P221" s="20">
        <v>0</v>
      </c>
      <c r="Q221" s="20">
        <v>0</v>
      </c>
      <c r="R221" s="20">
        <v>1.1805555555555555E-2</v>
      </c>
      <c r="S221" s="20">
        <v>6.9444444444444447E-4</v>
      </c>
      <c r="T221" s="20">
        <v>0</v>
      </c>
      <c r="U221" s="20">
        <v>6.9444444444444447E-4</v>
      </c>
      <c r="V221" s="20">
        <v>5.5555555555555558E-3</v>
      </c>
      <c r="W221" s="20">
        <v>7.6388888888888886E-3</v>
      </c>
      <c r="X221" s="20">
        <v>1.1805555555555555E-2</v>
      </c>
      <c r="Y221" s="20">
        <v>2.7777777777777779E-3</v>
      </c>
      <c r="Z221" s="20">
        <v>0</v>
      </c>
      <c r="AA221" s="20">
        <v>0</v>
      </c>
      <c r="AB221" s="20">
        <v>1.1805555555555555E-2</v>
      </c>
      <c r="AC221" s="20">
        <v>0</v>
      </c>
      <c r="AD221" s="20">
        <v>2.361111111111111E-2</v>
      </c>
      <c r="AE221" s="20">
        <v>0</v>
      </c>
      <c r="AF221" s="20">
        <v>0</v>
      </c>
      <c r="AG221" s="20">
        <v>6.9444444444444447E-4</v>
      </c>
      <c r="AH221" s="20">
        <v>0</v>
      </c>
      <c r="AI221" s="20">
        <v>0</v>
      </c>
      <c r="AJ221" s="1">
        <v>8</v>
      </c>
      <c r="AK221" s="1">
        <f t="shared" si="63"/>
        <v>32</v>
      </c>
      <c r="AL221" s="23">
        <v>6.9444444444444441E-3</v>
      </c>
      <c r="AM221" s="1">
        <f t="shared" si="64"/>
        <v>7</v>
      </c>
      <c r="AN221" s="21">
        <f t="shared" si="62"/>
        <v>0.21875</v>
      </c>
      <c r="AO221" s="22">
        <v>0</v>
      </c>
      <c r="AP221" s="1" t="s">
        <v>203</v>
      </c>
      <c r="AQ221" s="1" t="str">
        <f t="shared" si="54"/>
        <v>JORGE CORDOVA</v>
      </c>
      <c r="AR221" s="1">
        <f t="shared" si="52"/>
        <v>17</v>
      </c>
      <c r="AS221" s="1" t="str">
        <f t="shared" si="53"/>
        <v>CORDOVA ZEVALLOS</v>
      </c>
      <c r="AT221" s="1">
        <f t="shared" si="55"/>
        <v>8</v>
      </c>
      <c r="AU221" s="1" t="str">
        <f t="shared" si="56"/>
        <v>JORGE ENRIQUE</v>
      </c>
      <c r="AV221" s="1">
        <f t="shared" si="57"/>
        <v>6</v>
      </c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</row>
    <row r="222" spans="1:72">
      <c r="A222" s="19" t="s">
        <v>61</v>
      </c>
      <c r="B222" s="19" t="s">
        <v>62</v>
      </c>
      <c r="C222" s="19" t="s">
        <v>63</v>
      </c>
      <c r="D222" s="20">
        <v>6.9444444444444441E-3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2.0833333333333333E-3</v>
      </c>
      <c r="K222" s="20">
        <v>6.9444444444444447E-4</v>
      </c>
      <c r="L222" s="20">
        <v>0</v>
      </c>
      <c r="M222" s="20">
        <v>0</v>
      </c>
      <c r="N222" s="20">
        <v>4.1666666666666666E-3</v>
      </c>
      <c r="O222" s="20">
        <v>0</v>
      </c>
      <c r="P222" s="20">
        <v>0</v>
      </c>
      <c r="Q222" s="20">
        <v>0</v>
      </c>
      <c r="R222" s="20">
        <v>7.6388888888888886E-3</v>
      </c>
      <c r="S222" s="20">
        <v>0</v>
      </c>
      <c r="T222" s="20">
        <v>0</v>
      </c>
      <c r="U222" s="20">
        <v>6.2500000000000003E-3</v>
      </c>
      <c r="V222" s="20">
        <v>0</v>
      </c>
      <c r="W222" s="20">
        <v>3.472222222222222E-3</v>
      </c>
      <c r="X222" s="20">
        <v>1.5972222222222221E-2</v>
      </c>
      <c r="Y222" s="20">
        <v>0</v>
      </c>
      <c r="Z222" s="20">
        <v>0</v>
      </c>
      <c r="AA222" s="20">
        <v>0</v>
      </c>
      <c r="AB222" s="20">
        <v>2.7777777777777779E-3</v>
      </c>
      <c r="AC222" s="20">
        <v>8.3333333333333332E-3</v>
      </c>
      <c r="AD222" s="20">
        <v>2.0833333333333333E-3</v>
      </c>
      <c r="AE222" s="20">
        <v>2.7777777777777779E-3</v>
      </c>
      <c r="AF222" s="20">
        <v>1.1111111111111112E-2</v>
      </c>
      <c r="AG222" s="20">
        <v>0</v>
      </c>
      <c r="AH222" s="20">
        <v>0</v>
      </c>
      <c r="AI222" s="20">
        <v>7.6388888888888886E-3</v>
      </c>
      <c r="AJ222" s="1">
        <v>8</v>
      </c>
      <c r="AK222" s="1">
        <f t="shared" si="63"/>
        <v>32</v>
      </c>
      <c r="AL222" s="23">
        <v>6.9444444444444441E-3</v>
      </c>
      <c r="AM222" s="1">
        <f t="shared" si="64"/>
        <v>5</v>
      </c>
      <c r="AN222" s="21">
        <f t="shared" si="62"/>
        <v>0.15625</v>
      </c>
      <c r="AO222" s="22">
        <v>0</v>
      </c>
      <c r="AP222" s="1" t="s">
        <v>203</v>
      </c>
      <c r="AQ222" s="1" t="str">
        <f t="shared" si="54"/>
        <v>MANUEL MERMA</v>
      </c>
      <c r="AR222" s="1">
        <f t="shared" si="52"/>
        <v>12</v>
      </c>
      <c r="AS222" s="1" t="str">
        <f t="shared" si="53"/>
        <v>MERMA CHILA</v>
      </c>
      <c r="AT222" s="1">
        <f t="shared" si="55"/>
        <v>6</v>
      </c>
      <c r="AU222" s="1" t="str">
        <f t="shared" si="56"/>
        <v>MANUEL ENRIQUE</v>
      </c>
      <c r="AV222" s="1">
        <f t="shared" si="57"/>
        <v>7</v>
      </c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</row>
    <row r="223" spans="1:72">
      <c r="A223" s="19" t="s">
        <v>90</v>
      </c>
      <c r="B223" s="19" t="s">
        <v>91</v>
      </c>
      <c r="C223" s="19" t="s">
        <v>92</v>
      </c>
      <c r="D223" s="20">
        <v>0</v>
      </c>
      <c r="E223" s="20">
        <v>0</v>
      </c>
      <c r="F223" s="20">
        <v>0</v>
      </c>
      <c r="G223" s="20">
        <v>0</v>
      </c>
      <c r="H223" s="20">
        <v>0</v>
      </c>
      <c r="I223" s="20">
        <v>5.5555555555555558E-3</v>
      </c>
      <c r="J223" s="20">
        <v>0</v>
      </c>
      <c r="K223" s="20">
        <v>2.0833333333333333E-3</v>
      </c>
      <c r="L223" s="20">
        <v>8.3333333333333332E-3</v>
      </c>
      <c r="M223" s="20">
        <v>0</v>
      </c>
      <c r="N223" s="20">
        <v>4.8611111111111112E-3</v>
      </c>
      <c r="O223" s="20">
        <v>0</v>
      </c>
      <c r="P223" s="20">
        <v>0</v>
      </c>
      <c r="Q223" s="20">
        <v>0</v>
      </c>
      <c r="R223" s="20">
        <v>1.3888888888888889E-3</v>
      </c>
      <c r="S223" s="20">
        <v>1.3888888888888889E-3</v>
      </c>
      <c r="T223" s="20">
        <v>0</v>
      </c>
      <c r="U223" s="20">
        <v>7.6388888888888886E-3</v>
      </c>
      <c r="V223" s="20">
        <v>1.0416666666666666E-2</v>
      </c>
      <c r="W223" s="20">
        <v>0</v>
      </c>
      <c r="X223" s="20">
        <v>0</v>
      </c>
      <c r="Y223" s="20">
        <v>0</v>
      </c>
      <c r="Z223" s="20">
        <v>1.5277777777777777E-2</v>
      </c>
      <c r="AA223" s="20">
        <v>0</v>
      </c>
      <c r="AB223" s="20">
        <v>5.5555555555555558E-3</v>
      </c>
      <c r="AC223" s="20">
        <v>1.1805555555555555E-2</v>
      </c>
      <c r="AD223" s="20">
        <v>2.7777777777777779E-3</v>
      </c>
      <c r="AE223" s="20">
        <v>6.9444444444444441E-3</v>
      </c>
      <c r="AF223" s="19" t="s">
        <v>48</v>
      </c>
      <c r="AG223" s="20">
        <v>1.3888888888888889E-3</v>
      </c>
      <c r="AH223" s="20">
        <v>0</v>
      </c>
      <c r="AI223" s="20">
        <v>4.1666666666666666E-3</v>
      </c>
      <c r="AJ223" s="1">
        <v>8</v>
      </c>
      <c r="AK223" s="1">
        <f t="shared" si="63"/>
        <v>32</v>
      </c>
      <c r="AL223" s="23">
        <v>6.9444444444444441E-3</v>
      </c>
      <c r="AM223" s="1">
        <f t="shared" si="64"/>
        <v>5</v>
      </c>
      <c r="AN223" s="21">
        <f t="shared" si="62"/>
        <v>0.15625</v>
      </c>
      <c r="AO223" s="22">
        <v>0</v>
      </c>
      <c r="AP223" s="1" t="s">
        <v>203</v>
      </c>
      <c r="AQ223" s="1" t="str">
        <f t="shared" si="54"/>
        <v>LEONEL LAURA</v>
      </c>
      <c r="AR223" s="1">
        <f t="shared" si="52"/>
        <v>12</v>
      </c>
      <c r="AS223" s="1" t="str">
        <f t="shared" si="53"/>
        <v>LAURA APAZA</v>
      </c>
      <c r="AT223" s="1">
        <f t="shared" si="55"/>
        <v>6</v>
      </c>
      <c r="AU223" s="1" t="str">
        <f t="shared" si="56"/>
        <v>LEONEL ALEX</v>
      </c>
      <c r="AV223" s="1">
        <f t="shared" si="57"/>
        <v>7</v>
      </c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</row>
    <row r="224" spans="1:72">
      <c r="A224" s="19" t="s">
        <v>14</v>
      </c>
      <c r="B224" s="19" t="s">
        <v>15</v>
      </c>
      <c r="C224" s="19" t="s">
        <v>16</v>
      </c>
      <c r="D224" s="20">
        <v>0</v>
      </c>
      <c r="E224" s="20">
        <v>6.9444444444444447E-4</v>
      </c>
      <c r="F224" s="20">
        <v>0</v>
      </c>
      <c r="G224" s="20">
        <v>0</v>
      </c>
      <c r="H224" s="20">
        <v>0</v>
      </c>
      <c r="I224" s="20">
        <v>8.3333333333333332E-3</v>
      </c>
      <c r="J224" s="20">
        <v>0</v>
      </c>
      <c r="K224" s="20">
        <v>0</v>
      </c>
      <c r="L224" s="20">
        <v>0</v>
      </c>
      <c r="M224" s="20">
        <v>0</v>
      </c>
      <c r="N224" s="20">
        <v>1.2500000000000001E-2</v>
      </c>
      <c r="O224" s="20">
        <v>1.0416666666666666E-2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7.6388888888888886E-3</v>
      </c>
      <c r="V224" s="20">
        <v>5.5555555555555558E-3</v>
      </c>
      <c r="W224" s="20">
        <v>1.3888888888888889E-3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20">
        <v>0</v>
      </c>
      <c r="AE224" s="20">
        <v>0</v>
      </c>
      <c r="AF224" s="20">
        <v>0</v>
      </c>
      <c r="AG224" s="20">
        <v>0</v>
      </c>
      <c r="AH224" s="20">
        <v>0</v>
      </c>
      <c r="AI224" s="20">
        <v>6.9444444444444447E-4</v>
      </c>
      <c r="AJ224" s="1">
        <v>8</v>
      </c>
      <c r="AK224" s="1">
        <f t="shared" si="63"/>
        <v>32</v>
      </c>
      <c r="AL224" s="23">
        <v>6.9444444444444441E-3</v>
      </c>
      <c r="AM224" s="1">
        <f t="shared" si="64"/>
        <v>4</v>
      </c>
      <c r="AN224" s="21">
        <f t="shared" si="62"/>
        <v>0.125</v>
      </c>
      <c r="AO224" s="22">
        <v>0</v>
      </c>
      <c r="AP224" s="1" t="s">
        <v>203</v>
      </c>
      <c r="AQ224" s="1" t="str">
        <f>CONCATENATE(AU224," ",(MID(AS224,1,AT224-1)))</f>
        <v>RICHARD PARIONA</v>
      </c>
      <c r="AR224" s="1">
        <f t="shared" si="52"/>
        <v>14</v>
      </c>
      <c r="AS224" s="1" t="str">
        <f t="shared" si="53"/>
        <v>PARIONA ROSAS</v>
      </c>
      <c r="AT224" s="1">
        <f t="shared" si="55"/>
        <v>8</v>
      </c>
      <c r="AU224" s="1" t="str">
        <f t="shared" si="56"/>
        <v>RICHARD</v>
      </c>
      <c r="AV224" s="1" t="e">
        <f t="shared" si="57"/>
        <v>#VALUE!</v>
      </c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</row>
    <row r="225" spans="1:72">
      <c r="A225" s="15" t="s">
        <v>17</v>
      </c>
      <c r="B225" s="15" t="s">
        <v>18</v>
      </c>
      <c r="C225" s="15" t="s">
        <v>19</v>
      </c>
      <c r="D225" s="16">
        <v>0</v>
      </c>
      <c r="E225" s="16">
        <v>0</v>
      </c>
      <c r="F225" s="16">
        <v>0</v>
      </c>
      <c r="G225" s="16">
        <v>0</v>
      </c>
      <c r="H225" s="16">
        <v>0</v>
      </c>
      <c r="I225" s="16">
        <v>3.472222222222222E-3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1.0416666666666666E-2</v>
      </c>
      <c r="P225" s="16">
        <v>0</v>
      </c>
      <c r="Q225" s="16">
        <v>0</v>
      </c>
      <c r="R225" s="16">
        <v>6.9444444444444447E-4</v>
      </c>
      <c r="S225" s="16">
        <v>0</v>
      </c>
      <c r="T225" s="16">
        <v>0</v>
      </c>
      <c r="U225" s="16">
        <v>0</v>
      </c>
      <c r="V225" s="16">
        <v>3.472222222222222E-3</v>
      </c>
      <c r="W225" s="16">
        <v>6.9444444444444447E-4</v>
      </c>
      <c r="X225" s="16">
        <v>6.9444444444444447E-4</v>
      </c>
      <c r="Y225" s="16">
        <v>6.9444444444444447E-4</v>
      </c>
      <c r="Z225" s="16">
        <v>0</v>
      </c>
      <c r="AA225" s="16">
        <v>0</v>
      </c>
      <c r="AB225" s="16">
        <v>0</v>
      </c>
      <c r="AC225" s="16">
        <v>4.1666666666666666E-3</v>
      </c>
      <c r="AD225" s="16">
        <v>0</v>
      </c>
      <c r="AE225" s="16">
        <v>1.3888888888888888E-2</v>
      </c>
      <c r="AF225" s="16">
        <v>1.3888888888888888E-2</v>
      </c>
      <c r="AG225" s="16">
        <v>0</v>
      </c>
      <c r="AH225" s="16">
        <v>0</v>
      </c>
      <c r="AI225" s="16">
        <v>0</v>
      </c>
      <c r="AJ225" s="1">
        <v>8</v>
      </c>
      <c r="AK225" s="1">
        <f t="shared" si="63"/>
        <v>32</v>
      </c>
      <c r="AL225" s="23">
        <v>6.9444444444444441E-3</v>
      </c>
      <c r="AM225" s="1">
        <f t="shared" si="64"/>
        <v>3</v>
      </c>
      <c r="AN225" s="21">
        <f t="shared" si="62"/>
        <v>9.375E-2</v>
      </c>
      <c r="AO225" s="18">
        <v>0</v>
      </c>
      <c r="AP225" s="1" t="s">
        <v>203</v>
      </c>
      <c r="AQ225" s="1" t="str">
        <f t="shared" si="54"/>
        <v>STEPHEN LLANOS</v>
      </c>
      <c r="AR225" s="1">
        <f t="shared" si="52"/>
        <v>16</v>
      </c>
      <c r="AS225" s="1" t="str">
        <f t="shared" si="53"/>
        <v>LLANOS ANTAURCO</v>
      </c>
      <c r="AT225" s="1">
        <f t="shared" si="55"/>
        <v>7</v>
      </c>
      <c r="AU225" s="1" t="str">
        <f t="shared" si="56"/>
        <v>STEPHEN BORIS</v>
      </c>
      <c r="AV225" s="1">
        <f t="shared" si="57"/>
        <v>8</v>
      </c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</row>
    <row r="226" spans="1:72">
      <c r="A226" s="15" t="s">
        <v>93</v>
      </c>
      <c r="B226" s="15" t="s">
        <v>94</v>
      </c>
      <c r="C226" s="15" t="s">
        <v>95</v>
      </c>
      <c r="D226" s="1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1.1805555555555555E-2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8.3333333333333332E-3</v>
      </c>
      <c r="AE226" s="16">
        <v>0</v>
      </c>
      <c r="AF226" s="16">
        <v>7.6388888888888886E-3</v>
      </c>
      <c r="AG226" s="16">
        <v>0</v>
      </c>
      <c r="AH226" s="16">
        <v>0</v>
      </c>
      <c r="AI226" s="16">
        <v>6.9444444444444447E-4</v>
      </c>
      <c r="AJ226" s="1">
        <v>8</v>
      </c>
      <c r="AK226" s="1">
        <f t="shared" si="63"/>
        <v>32</v>
      </c>
      <c r="AL226" s="23">
        <v>6.9444444444444441E-3</v>
      </c>
      <c r="AM226" s="1">
        <f t="shared" si="64"/>
        <v>3</v>
      </c>
      <c r="AN226" s="21">
        <f t="shared" si="62"/>
        <v>9.375E-2</v>
      </c>
      <c r="AO226" s="18">
        <v>0</v>
      </c>
      <c r="AP226" s="1" t="s">
        <v>203</v>
      </c>
      <c r="AQ226" s="1" t="str">
        <f t="shared" si="54"/>
        <v>DARWIN LAURA</v>
      </c>
      <c r="AR226" s="1">
        <f t="shared" si="52"/>
        <v>14</v>
      </c>
      <c r="AS226" s="1" t="str">
        <f t="shared" si="53"/>
        <v>LAURA VICENTE</v>
      </c>
      <c r="AT226" s="1">
        <f t="shared" si="55"/>
        <v>6</v>
      </c>
      <c r="AU226" s="1" t="str">
        <f t="shared" si="56"/>
        <v>DARWIN FERNANDO</v>
      </c>
      <c r="AV226" s="1">
        <f t="shared" si="57"/>
        <v>7</v>
      </c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</row>
    <row r="227" spans="1:72">
      <c r="A227" s="15" t="s">
        <v>32</v>
      </c>
      <c r="B227" s="15" t="s">
        <v>33</v>
      </c>
      <c r="C227" s="15" t="s">
        <v>34</v>
      </c>
      <c r="D227" s="16">
        <v>2.0833333333333333E-3</v>
      </c>
      <c r="E227" s="16">
        <v>0</v>
      </c>
      <c r="F227" s="16">
        <v>0</v>
      </c>
      <c r="G227" s="16">
        <v>0</v>
      </c>
      <c r="H227" s="16">
        <v>0</v>
      </c>
      <c r="I227" s="16">
        <v>4.1666666666666666E-3</v>
      </c>
      <c r="J227" s="16">
        <v>0</v>
      </c>
      <c r="K227" s="16">
        <v>6.9444444444444447E-4</v>
      </c>
      <c r="L227" s="16">
        <v>6.9444444444444441E-3</v>
      </c>
      <c r="M227" s="16">
        <v>0</v>
      </c>
      <c r="N227" s="16">
        <v>4.8611111111111112E-3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2.7777777777777779E-3</v>
      </c>
      <c r="V227" s="16">
        <v>0</v>
      </c>
      <c r="W227" s="16">
        <v>0</v>
      </c>
      <c r="X227" s="16">
        <v>2.0833333333333332E-2</v>
      </c>
      <c r="Y227" s="16">
        <v>0</v>
      </c>
      <c r="Z227" s="16">
        <v>0</v>
      </c>
      <c r="AA227" s="16">
        <v>0</v>
      </c>
      <c r="AB227" s="16">
        <v>2.7777777777777779E-3</v>
      </c>
      <c r="AC227" s="16">
        <v>1.4583333333333334E-2</v>
      </c>
      <c r="AD227" s="16">
        <v>6.2500000000000003E-3</v>
      </c>
      <c r="AE227" s="16">
        <v>0</v>
      </c>
      <c r="AF227" s="16">
        <v>6.2500000000000003E-3</v>
      </c>
      <c r="AG227" s="16">
        <v>0</v>
      </c>
      <c r="AH227" s="16">
        <v>0</v>
      </c>
      <c r="AI227" s="16">
        <v>0</v>
      </c>
      <c r="AJ227" s="1">
        <v>8</v>
      </c>
      <c r="AK227" s="1">
        <f t="shared" si="63"/>
        <v>32</v>
      </c>
      <c r="AL227" s="23">
        <v>6.9444444444444441E-3</v>
      </c>
      <c r="AM227" s="1">
        <f t="shared" si="64"/>
        <v>2</v>
      </c>
      <c r="AN227" s="21">
        <f t="shared" si="62"/>
        <v>6.25E-2</v>
      </c>
      <c r="AO227" s="18">
        <v>0</v>
      </c>
      <c r="AP227" s="1" t="s">
        <v>203</v>
      </c>
      <c r="AQ227" s="1" t="str">
        <f t="shared" si="54"/>
        <v>RONY CRUZ</v>
      </c>
      <c r="AR227" s="1">
        <f t="shared" si="52"/>
        <v>11</v>
      </c>
      <c r="AS227" s="1" t="str">
        <f t="shared" si="53"/>
        <v>CRUZ TAIPE</v>
      </c>
      <c r="AT227" s="1">
        <f t="shared" si="55"/>
        <v>5</v>
      </c>
      <c r="AU227" s="1" t="str">
        <f t="shared" si="56"/>
        <v>RONY WALDIR</v>
      </c>
      <c r="AV227" s="1">
        <f t="shared" si="57"/>
        <v>5</v>
      </c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</row>
    <row r="228" spans="1:72">
      <c r="A228" s="15" t="s">
        <v>36</v>
      </c>
      <c r="B228" s="15" t="s">
        <v>37</v>
      </c>
      <c r="C228" s="15" t="s">
        <v>38</v>
      </c>
      <c r="D228" s="16">
        <v>6.9444444444444447E-4</v>
      </c>
      <c r="E228" s="16">
        <v>0</v>
      </c>
      <c r="F228" s="16">
        <v>0</v>
      </c>
      <c r="G228" s="16">
        <v>0</v>
      </c>
      <c r="H228" s="16">
        <v>0</v>
      </c>
      <c r="I228" s="16">
        <v>1.4583333333333334E-2</v>
      </c>
      <c r="J228" s="16">
        <v>0</v>
      </c>
      <c r="K228" s="16">
        <v>1.1805555555555555E-2</v>
      </c>
      <c r="L228" s="15" t="s">
        <v>49</v>
      </c>
      <c r="M228" s="16">
        <v>0</v>
      </c>
      <c r="N228" s="16">
        <v>0</v>
      </c>
      <c r="O228" s="15" t="s">
        <v>49</v>
      </c>
      <c r="P228" s="16">
        <v>0</v>
      </c>
      <c r="Q228" s="15" t="s">
        <v>49</v>
      </c>
      <c r="R228" s="15" t="s">
        <v>49</v>
      </c>
      <c r="S228" s="16">
        <v>2.0833333333333333E-3</v>
      </c>
      <c r="T228" s="16">
        <v>0</v>
      </c>
      <c r="U228" s="15" t="s">
        <v>49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">
        <v>8</v>
      </c>
      <c r="AK228" s="1">
        <f t="shared" si="63"/>
        <v>32</v>
      </c>
      <c r="AL228" s="23">
        <v>6.9444444444444441E-3</v>
      </c>
      <c r="AM228" s="1">
        <f t="shared" si="64"/>
        <v>2</v>
      </c>
      <c r="AN228" s="21">
        <f t="shared" si="62"/>
        <v>6.25E-2</v>
      </c>
      <c r="AO228" s="22">
        <v>5</v>
      </c>
      <c r="AP228" s="1" t="s">
        <v>201</v>
      </c>
      <c r="AQ228" s="1" t="str">
        <f t="shared" si="54"/>
        <v>MARQUIÑO ANDRADE</v>
      </c>
      <c r="AR228" s="1">
        <f t="shared" si="52"/>
        <v>13</v>
      </c>
      <c r="AS228" s="1" t="str">
        <f t="shared" si="53"/>
        <v>ANDRADE MERA</v>
      </c>
      <c r="AT228" s="1">
        <f t="shared" si="55"/>
        <v>8</v>
      </c>
      <c r="AU228" s="1" t="str">
        <f t="shared" si="56"/>
        <v>MARQUIÑO ANTONY</v>
      </c>
      <c r="AV228" s="1">
        <f t="shared" si="57"/>
        <v>9</v>
      </c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</row>
    <row r="229" spans="1:72">
      <c r="A229" s="15" t="s">
        <v>99</v>
      </c>
      <c r="B229" s="15" t="s">
        <v>100</v>
      </c>
      <c r="C229" s="15" t="s">
        <v>101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2.7777777777777779E-3</v>
      </c>
      <c r="M229" s="16">
        <v>0</v>
      </c>
      <c r="N229" s="16">
        <v>0</v>
      </c>
      <c r="O229" s="16">
        <v>1.1805555555555555E-2</v>
      </c>
      <c r="P229" s="16">
        <v>0</v>
      </c>
      <c r="Q229" s="16">
        <v>0</v>
      </c>
      <c r="R229" s="16">
        <v>1.3888888888888889E-3</v>
      </c>
      <c r="S229" s="16">
        <v>0</v>
      </c>
      <c r="T229" s="16">
        <v>0</v>
      </c>
      <c r="U229" s="16">
        <v>0</v>
      </c>
      <c r="V229" s="16">
        <v>2.013888888888889E-2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2.7777777777777779E-3</v>
      </c>
      <c r="AE229" s="16">
        <v>0</v>
      </c>
      <c r="AF229" s="16">
        <v>2.0833333333333333E-3</v>
      </c>
      <c r="AG229" s="16">
        <v>3.472222222222222E-3</v>
      </c>
      <c r="AH229" s="16">
        <v>0</v>
      </c>
      <c r="AI229" s="16">
        <v>3.472222222222222E-3</v>
      </c>
      <c r="AJ229" s="1">
        <v>8</v>
      </c>
      <c r="AK229" s="1">
        <f t="shared" si="63"/>
        <v>32</v>
      </c>
      <c r="AL229" s="23">
        <v>6.9444444444444441E-3</v>
      </c>
      <c r="AM229" s="1">
        <f t="shared" si="64"/>
        <v>2</v>
      </c>
      <c r="AN229" s="21">
        <f t="shared" si="62"/>
        <v>6.25E-2</v>
      </c>
      <c r="AO229" s="18">
        <v>0</v>
      </c>
      <c r="AP229" s="1" t="s">
        <v>203</v>
      </c>
      <c r="AQ229" s="1" t="str">
        <f t="shared" si="54"/>
        <v>STEFANO BORDA</v>
      </c>
      <c r="AR229" s="1">
        <f t="shared" si="52"/>
        <v>13</v>
      </c>
      <c r="AS229" s="1" t="str">
        <f t="shared" si="53"/>
        <v>BORDA BURGOS</v>
      </c>
      <c r="AT229" s="1">
        <f t="shared" si="55"/>
        <v>6</v>
      </c>
      <c r="AU229" s="1" t="str">
        <f t="shared" si="56"/>
        <v>STEFANO PAOLO</v>
      </c>
      <c r="AV229" s="1">
        <f t="shared" si="57"/>
        <v>8</v>
      </c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</row>
    <row r="230" spans="1:72">
      <c r="A230" s="15" t="s">
        <v>39</v>
      </c>
      <c r="B230" s="15" t="s">
        <v>40</v>
      </c>
      <c r="C230" s="15" t="s">
        <v>41</v>
      </c>
      <c r="D230" s="16">
        <v>0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1.3888888888888889E-3</v>
      </c>
      <c r="O230" s="16">
        <v>1.1805555555555555E-2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6.9444444444444447E-4</v>
      </c>
      <c r="AC230" s="16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">
        <v>8</v>
      </c>
      <c r="AK230" s="1">
        <f t="shared" si="63"/>
        <v>32</v>
      </c>
      <c r="AL230" s="23">
        <v>6.9444444444444441E-3</v>
      </c>
      <c r="AM230" s="1">
        <f t="shared" si="64"/>
        <v>1</v>
      </c>
      <c r="AN230" s="21">
        <f t="shared" si="62"/>
        <v>3.125E-2</v>
      </c>
      <c r="AO230" s="18">
        <v>0</v>
      </c>
      <c r="AP230" s="1" t="s">
        <v>203</v>
      </c>
      <c r="AQ230" s="1" t="str">
        <f t="shared" si="54"/>
        <v>FRANCISCO MEJIA</v>
      </c>
      <c r="AR230" s="1">
        <f t="shared" si="52"/>
        <v>13</v>
      </c>
      <c r="AS230" s="1" t="str">
        <f t="shared" si="53"/>
        <v>MEJIA TORRES</v>
      </c>
      <c r="AT230" s="1">
        <f t="shared" si="55"/>
        <v>6</v>
      </c>
      <c r="AU230" s="1" t="str">
        <f t="shared" si="56"/>
        <v>FRANCISCO JAVIER</v>
      </c>
      <c r="AV230" s="1">
        <f t="shared" si="57"/>
        <v>10</v>
      </c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</row>
    <row r="231" spans="1:72">
      <c r="A231" s="15" t="s">
        <v>42</v>
      </c>
      <c r="B231" s="15" t="s">
        <v>43</v>
      </c>
      <c r="C231" s="15" t="s">
        <v>44</v>
      </c>
      <c r="D231" s="16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6.9444444444444447E-4</v>
      </c>
      <c r="L231" s="16">
        <v>0</v>
      </c>
      <c r="M231" s="16">
        <v>0</v>
      </c>
      <c r="N231" s="16">
        <v>0</v>
      </c>
      <c r="O231" s="16">
        <v>1.2500000000000001E-2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">
        <v>8</v>
      </c>
      <c r="AK231" s="1">
        <f t="shared" si="63"/>
        <v>32</v>
      </c>
      <c r="AL231" s="23">
        <v>6.9444444444444441E-3</v>
      </c>
      <c r="AM231" s="1">
        <f t="shared" si="64"/>
        <v>1</v>
      </c>
      <c r="AN231" s="21">
        <f t="shared" si="62"/>
        <v>3.125E-2</v>
      </c>
      <c r="AO231" s="18">
        <v>0</v>
      </c>
      <c r="AP231" s="1" t="s">
        <v>203</v>
      </c>
      <c r="AQ231" s="1" t="str">
        <f t="shared" si="54"/>
        <v>CARLOS GUEVARA</v>
      </c>
      <c r="AR231" s="1">
        <f t="shared" si="52"/>
        <v>16</v>
      </c>
      <c r="AS231" s="1" t="str">
        <f t="shared" si="53"/>
        <v>GUEVARA CABELLO</v>
      </c>
      <c r="AT231" s="1">
        <f t="shared" si="55"/>
        <v>8</v>
      </c>
      <c r="AU231" s="1" t="str">
        <f t="shared" si="56"/>
        <v>CARLOS JEANPIERRE</v>
      </c>
      <c r="AV231" s="1">
        <f t="shared" si="57"/>
        <v>7</v>
      </c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</row>
    <row r="232" spans="1:72">
      <c r="A232" s="15" t="s">
        <v>106</v>
      </c>
      <c r="B232" s="15" t="s">
        <v>107</v>
      </c>
      <c r="C232" s="15" t="s">
        <v>108</v>
      </c>
      <c r="D232" s="16">
        <v>0</v>
      </c>
      <c r="E232" s="16">
        <v>0</v>
      </c>
      <c r="F232" s="16">
        <v>0</v>
      </c>
      <c r="G232" s="16">
        <v>0</v>
      </c>
      <c r="H232" s="16">
        <v>0</v>
      </c>
      <c r="I232" s="16">
        <v>6.9444444444444447E-4</v>
      </c>
      <c r="J232" s="16">
        <v>0</v>
      </c>
      <c r="K232" s="16">
        <v>0</v>
      </c>
      <c r="L232" s="16">
        <v>3.472222222222222E-3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1.3888888888888889E-3</v>
      </c>
      <c r="AF232" s="16">
        <v>0</v>
      </c>
      <c r="AG232" s="16">
        <v>0</v>
      </c>
      <c r="AH232" s="16">
        <v>0</v>
      </c>
      <c r="AI232" s="16">
        <v>0</v>
      </c>
      <c r="AJ232" s="1">
        <v>8</v>
      </c>
      <c r="AK232" s="1">
        <f t="shared" si="63"/>
        <v>32</v>
      </c>
      <c r="AL232" s="23">
        <v>6.9444444444444441E-3</v>
      </c>
      <c r="AM232" s="1">
        <f t="shared" si="64"/>
        <v>0</v>
      </c>
      <c r="AN232" s="21">
        <f t="shared" si="62"/>
        <v>0</v>
      </c>
      <c r="AO232" s="18">
        <v>0</v>
      </c>
      <c r="AP232" s="1" t="str">
        <f>VLOOKUP(B232,Hoja3!$A$1:$B$14,2,0)</f>
        <v>CESADO</v>
      </c>
      <c r="AQ232" s="1" t="str">
        <f t="shared" si="54"/>
        <v>ROCIO PAREDES</v>
      </c>
      <c r="AR232" s="1">
        <f t="shared" si="52"/>
        <v>16</v>
      </c>
      <c r="AS232" s="1" t="str">
        <f t="shared" si="53"/>
        <v>PAREDES GUILLEN</v>
      </c>
      <c r="AT232" s="1">
        <f t="shared" si="55"/>
        <v>8</v>
      </c>
      <c r="AU232" s="1" t="str">
        <f t="shared" si="56"/>
        <v>ROCIO NOEMI</v>
      </c>
      <c r="AV232" s="1">
        <f t="shared" si="57"/>
        <v>6</v>
      </c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</row>
    <row r="233" spans="1:72">
      <c r="A233" s="15" t="s">
        <v>87</v>
      </c>
      <c r="B233" s="15" t="s">
        <v>88</v>
      </c>
      <c r="C233" s="15" t="s">
        <v>89</v>
      </c>
      <c r="D233" s="16">
        <v>0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6">
        <v>0</v>
      </c>
      <c r="O233" s="16">
        <v>0</v>
      </c>
      <c r="P233" s="16">
        <v>0</v>
      </c>
      <c r="Q233" s="16">
        <v>2.0833333333333333E-3</v>
      </c>
      <c r="R233" s="16">
        <v>0</v>
      </c>
      <c r="S233" s="16">
        <v>0</v>
      </c>
      <c r="T233" s="16">
        <v>0</v>
      </c>
      <c r="U233" s="16">
        <v>0</v>
      </c>
      <c r="V233" s="16">
        <v>3.472222222222222E-3</v>
      </c>
      <c r="W233" s="16">
        <v>0</v>
      </c>
      <c r="X233" s="16">
        <v>0</v>
      </c>
      <c r="Y233" s="16">
        <v>3.472222222222222E-3</v>
      </c>
      <c r="Z233" s="16">
        <v>2.0833333333333333E-3</v>
      </c>
      <c r="AA233" s="16">
        <v>0</v>
      </c>
      <c r="AB233" s="16">
        <v>4.1666666666666666E-3</v>
      </c>
      <c r="AC233" s="16">
        <v>0</v>
      </c>
      <c r="AD233" s="16">
        <v>2.0833333333333333E-3</v>
      </c>
      <c r="AE233" s="16">
        <v>1.3888888888888889E-3</v>
      </c>
      <c r="AF233" s="16">
        <v>2.0833333333333333E-3</v>
      </c>
      <c r="AG233" s="16">
        <v>0</v>
      </c>
      <c r="AH233" s="16">
        <v>0</v>
      </c>
      <c r="AI233" s="16">
        <v>0</v>
      </c>
      <c r="AJ233" s="1">
        <v>8</v>
      </c>
      <c r="AK233" s="1">
        <f t="shared" si="63"/>
        <v>32</v>
      </c>
      <c r="AL233" s="23">
        <v>6.9444444444444441E-3</v>
      </c>
      <c r="AM233" s="1">
        <f t="shared" si="64"/>
        <v>0</v>
      </c>
      <c r="AN233" s="21">
        <f t="shared" si="62"/>
        <v>0</v>
      </c>
      <c r="AO233" s="18">
        <v>0</v>
      </c>
      <c r="AP233" s="1" t="s">
        <v>203</v>
      </c>
      <c r="AQ233" s="1" t="str">
        <f t="shared" si="54"/>
        <v>ALEXANDER LUJAN</v>
      </c>
      <c r="AR233" s="1">
        <f t="shared" si="52"/>
        <v>17</v>
      </c>
      <c r="AS233" s="1" t="str">
        <f t="shared" si="53"/>
        <v>LUJAN VILCAÑAUPA</v>
      </c>
      <c r="AT233" s="1">
        <f t="shared" si="55"/>
        <v>6</v>
      </c>
      <c r="AU233" s="1" t="str">
        <f t="shared" si="56"/>
        <v>ALEXANDER MATIAS</v>
      </c>
      <c r="AV233" s="1">
        <f t="shared" si="57"/>
        <v>10</v>
      </c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</row>
    <row r="234" spans="1:72">
      <c r="A234" s="2" t="s">
        <v>64</v>
      </c>
      <c r="B234" s="2" t="s">
        <v>65</v>
      </c>
      <c r="C234" s="2" t="s">
        <v>66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1">
        <v>8</v>
      </c>
      <c r="AK234" s="1">
        <f>COUNTA(D234:AI234)</f>
        <v>32</v>
      </c>
      <c r="AL234" s="23">
        <v>6.9444444444444441E-3</v>
      </c>
      <c r="AM234" s="1">
        <f t="shared" si="64"/>
        <v>0</v>
      </c>
      <c r="AN234" s="21">
        <f>+AM234/AK234</f>
        <v>0</v>
      </c>
      <c r="AO234" s="22">
        <f>COUNTIF(D234:AI234,"F")</f>
        <v>0</v>
      </c>
      <c r="AP234" s="1" t="s">
        <v>203</v>
      </c>
      <c r="AQ234" s="1" t="str">
        <f t="shared" si="54"/>
        <v>GRECIA SANCHEZ</v>
      </c>
      <c r="AR234" s="1">
        <f t="shared" si="52"/>
        <v>16</v>
      </c>
      <c r="AS234" s="1" t="str">
        <f t="shared" si="53"/>
        <v>SANCHEZ PANAIFO</v>
      </c>
      <c r="AT234" s="1">
        <f t="shared" si="55"/>
        <v>8</v>
      </c>
      <c r="AU234" s="1" t="str">
        <f t="shared" si="56"/>
        <v>GRECIA DANNAE</v>
      </c>
      <c r="AV234" s="1">
        <f t="shared" si="57"/>
        <v>7</v>
      </c>
    </row>
    <row r="235" spans="1:72">
      <c r="A235" s="2" t="s">
        <v>72</v>
      </c>
      <c r="B235" s="2" t="s">
        <v>73</v>
      </c>
      <c r="C235" s="2" t="s">
        <v>74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1">
        <v>8</v>
      </c>
      <c r="AK235" s="1">
        <f>COUNTA(D235:AI235)</f>
        <v>32</v>
      </c>
      <c r="AL235" s="23">
        <v>6.9444444444444441E-3</v>
      </c>
      <c r="AM235" s="1">
        <f>COUNTIF(D235:AI235, "&gt;00:10")</f>
        <v>0</v>
      </c>
      <c r="AN235" s="21">
        <f>+AM235/AK235</f>
        <v>0</v>
      </c>
      <c r="AO235" s="22">
        <f>COUNTIF(D235:AI235,"F")</f>
        <v>0</v>
      </c>
      <c r="AP235" s="1" t="s">
        <v>203</v>
      </c>
      <c r="AQ235" s="1" t="str">
        <f t="shared" si="54"/>
        <v>JONATHAN URDAY</v>
      </c>
      <c r="AR235" s="1">
        <f t="shared" si="52"/>
        <v>13</v>
      </c>
      <c r="AS235" s="1" t="str">
        <f t="shared" si="53"/>
        <v>URDAY CHOQUE</v>
      </c>
      <c r="AT235" s="1">
        <f t="shared" si="55"/>
        <v>6</v>
      </c>
      <c r="AU235" s="1" t="str">
        <f t="shared" si="56"/>
        <v>JONATHAN EDGARD</v>
      </c>
      <c r="AV235" s="1">
        <f t="shared" si="57"/>
        <v>9</v>
      </c>
    </row>
  </sheetData>
  <autoFilter ref="A1:AQ235" xr:uid="{00E30AEC-AADA-49F7-8FB5-16E1F095FDA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F0A7-38CE-443D-A348-7033606382EF}">
  <dimension ref="A1:B18"/>
  <sheetViews>
    <sheetView workbookViewId="0">
      <selection activeCell="B18" sqref="B18"/>
    </sheetView>
  </sheetViews>
  <sheetFormatPr baseColWidth="10" defaultRowHeight="14.25"/>
  <cols>
    <col min="1" max="1" width="32" bestFit="1" customWidth="1"/>
  </cols>
  <sheetData>
    <row r="1" spans="1:2">
      <c r="A1" t="s">
        <v>77</v>
      </c>
      <c r="B1" t="s">
        <v>201</v>
      </c>
    </row>
    <row r="2" spans="1:2">
      <c r="A2" t="s">
        <v>152</v>
      </c>
      <c r="B2" t="s">
        <v>201</v>
      </c>
    </row>
    <row r="3" spans="1:2">
      <c r="A3" t="s">
        <v>164</v>
      </c>
      <c r="B3" t="s">
        <v>201</v>
      </c>
    </row>
    <row r="4" spans="1:2">
      <c r="A4" t="s">
        <v>69</v>
      </c>
      <c r="B4" t="s">
        <v>201</v>
      </c>
    </row>
    <row r="5" spans="1:2">
      <c r="A5" t="s">
        <v>135</v>
      </c>
      <c r="B5" t="s">
        <v>201</v>
      </c>
    </row>
    <row r="6" spans="1:2">
      <c r="A6" t="s">
        <v>161</v>
      </c>
      <c r="B6" t="s">
        <v>201</v>
      </c>
    </row>
    <row r="7" spans="1:2">
      <c r="A7" t="s">
        <v>145</v>
      </c>
      <c r="B7" t="s">
        <v>201</v>
      </c>
    </row>
    <row r="8" spans="1:2">
      <c r="A8" t="s">
        <v>149</v>
      </c>
      <c r="B8" t="s">
        <v>201</v>
      </c>
    </row>
    <row r="9" spans="1:2">
      <c r="A9" t="s">
        <v>131</v>
      </c>
      <c r="B9" t="s">
        <v>201</v>
      </c>
    </row>
    <row r="10" spans="1:2">
      <c r="A10" t="s">
        <v>167</v>
      </c>
      <c r="B10" t="s">
        <v>201</v>
      </c>
    </row>
    <row r="11" spans="1:2">
      <c r="A11" t="s">
        <v>107</v>
      </c>
      <c r="B11" t="s">
        <v>201</v>
      </c>
    </row>
    <row r="12" spans="1:2">
      <c r="A12" t="s">
        <v>122</v>
      </c>
      <c r="B12" t="s">
        <v>201</v>
      </c>
    </row>
    <row r="13" spans="1:2">
      <c r="A13" t="s">
        <v>155</v>
      </c>
      <c r="B13" t="s">
        <v>201</v>
      </c>
    </row>
    <row r="14" spans="1:2">
      <c r="A14" t="s">
        <v>177</v>
      </c>
      <c r="B14" t="s">
        <v>201</v>
      </c>
    </row>
    <row r="15" spans="1:2">
      <c r="A15" t="s">
        <v>24</v>
      </c>
      <c r="B15" t="s">
        <v>201</v>
      </c>
    </row>
    <row r="16" spans="1:2">
      <c r="A16" t="s">
        <v>27</v>
      </c>
      <c r="B16" t="s">
        <v>201</v>
      </c>
    </row>
    <row r="17" spans="1:2">
      <c r="A17" t="s">
        <v>37</v>
      </c>
      <c r="B17" t="s">
        <v>201</v>
      </c>
    </row>
    <row r="18" spans="1:2">
      <c r="A18" t="s">
        <v>170</v>
      </c>
      <c r="B18" t="s">
        <v>201</v>
      </c>
    </row>
  </sheetData>
  <sortState xmlns:xlrd2="http://schemas.microsoft.com/office/spreadsheetml/2017/richdata2" ref="A1:B31">
    <sortCondition ref="A1:A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E040-90A7-4090-A883-FD531FF4D7FD}">
  <dimension ref="A1:F27"/>
  <sheetViews>
    <sheetView workbookViewId="0">
      <selection activeCell="I35" sqref="I35"/>
    </sheetView>
  </sheetViews>
  <sheetFormatPr baseColWidth="10" defaultRowHeight="14.25"/>
  <cols>
    <col min="1" max="1" width="19.125" bestFit="1" customWidth="1"/>
    <col min="2" max="2" width="9.375" bestFit="1" customWidth="1"/>
    <col min="3" max="5" width="4" bestFit="1" customWidth="1"/>
    <col min="6" max="6" width="11.5" bestFit="1" customWidth="1"/>
    <col min="7" max="9" width="4" bestFit="1" customWidth="1"/>
    <col min="10" max="10" width="11.5" bestFit="1" customWidth="1"/>
    <col min="11" max="11" width="14.625" bestFit="1" customWidth="1"/>
    <col min="12" max="12" width="19.125" bestFit="1" customWidth="1"/>
    <col min="13" max="13" width="14.625" bestFit="1" customWidth="1"/>
    <col min="14" max="14" width="19.125" bestFit="1" customWidth="1"/>
    <col min="15" max="15" width="14.625" bestFit="1" customWidth="1"/>
    <col min="16" max="16" width="19.125" bestFit="1" customWidth="1"/>
    <col min="17" max="17" width="14.625" bestFit="1" customWidth="1"/>
    <col min="18" max="18" width="23.625" bestFit="1" customWidth="1"/>
    <col min="19" max="19" width="19.25" bestFit="1" customWidth="1"/>
  </cols>
  <sheetData>
    <row r="1" spans="1:6">
      <c r="A1" s="24" t="s">
        <v>202</v>
      </c>
      <c r="B1" t="s">
        <v>203</v>
      </c>
    </row>
    <row r="3" spans="1:6">
      <c r="A3" s="24" t="s">
        <v>200</v>
      </c>
      <c r="B3" s="24" t="s">
        <v>204</v>
      </c>
    </row>
    <row r="4" spans="1:6">
      <c r="A4" s="24" t="s">
        <v>198</v>
      </c>
      <c r="B4">
        <v>5</v>
      </c>
      <c r="C4">
        <v>6</v>
      </c>
      <c r="D4">
        <v>7</v>
      </c>
      <c r="E4">
        <v>8</v>
      </c>
      <c r="F4" t="s">
        <v>199</v>
      </c>
    </row>
    <row r="5" spans="1:6">
      <c r="A5" s="25" t="s">
        <v>219</v>
      </c>
      <c r="B5" s="26">
        <v>15</v>
      </c>
      <c r="C5" s="26">
        <v>22</v>
      </c>
      <c r="D5" s="26">
        <v>18</v>
      </c>
      <c r="E5" s="26">
        <v>13</v>
      </c>
      <c r="F5" s="26">
        <v>68</v>
      </c>
    </row>
    <row r="6" spans="1:6">
      <c r="A6" s="25" t="s">
        <v>221</v>
      </c>
      <c r="B6" s="26">
        <v>19</v>
      </c>
      <c r="C6" s="26">
        <v>21</v>
      </c>
      <c r="D6" s="26">
        <v>13</v>
      </c>
      <c r="E6" s="26">
        <v>7</v>
      </c>
      <c r="F6" s="26">
        <v>60</v>
      </c>
    </row>
    <row r="7" spans="1:6">
      <c r="A7" s="25" t="s">
        <v>224</v>
      </c>
      <c r="B7" s="26">
        <v>15</v>
      </c>
      <c r="C7" s="26">
        <v>22</v>
      </c>
      <c r="D7" s="26">
        <v>14</v>
      </c>
      <c r="E7" s="26">
        <v>9</v>
      </c>
      <c r="F7" s="26">
        <v>60</v>
      </c>
    </row>
    <row r="8" spans="1:6">
      <c r="A8" s="25" t="s">
        <v>215</v>
      </c>
      <c r="B8" s="26">
        <v>15</v>
      </c>
      <c r="C8" s="26">
        <v>12</v>
      </c>
      <c r="D8" s="26">
        <v>13</v>
      </c>
      <c r="E8" s="26">
        <v>19</v>
      </c>
      <c r="F8" s="26">
        <v>59</v>
      </c>
    </row>
    <row r="9" spans="1:6">
      <c r="A9" s="25" t="s">
        <v>217</v>
      </c>
      <c r="B9" s="26">
        <v>19</v>
      </c>
      <c r="C9" s="26">
        <v>25</v>
      </c>
      <c r="D9" s="26">
        <v>4</v>
      </c>
      <c r="E9" s="26">
        <v>11</v>
      </c>
      <c r="F9" s="26">
        <v>59</v>
      </c>
    </row>
    <row r="10" spans="1:6">
      <c r="A10" s="25" t="s">
        <v>218</v>
      </c>
      <c r="B10" s="26">
        <v>10</v>
      </c>
      <c r="C10" s="26">
        <v>17</v>
      </c>
      <c r="D10" s="26">
        <v>11</v>
      </c>
      <c r="E10" s="26">
        <v>16</v>
      </c>
      <c r="F10" s="26">
        <v>54</v>
      </c>
    </row>
    <row r="11" spans="1:6">
      <c r="A11" s="25" t="s">
        <v>223</v>
      </c>
      <c r="B11" s="26">
        <v>14</v>
      </c>
      <c r="C11" s="26">
        <v>24</v>
      </c>
      <c r="D11" s="26">
        <v>9</v>
      </c>
      <c r="E11" s="26">
        <v>4</v>
      </c>
      <c r="F11" s="26">
        <v>51</v>
      </c>
    </row>
    <row r="12" spans="1:6">
      <c r="A12" s="25" t="s">
        <v>212</v>
      </c>
      <c r="B12" s="26">
        <v>4</v>
      </c>
      <c r="C12" s="26">
        <v>9</v>
      </c>
      <c r="D12" s="26">
        <v>10</v>
      </c>
      <c r="E12" s="26">
        <v>8</v>
      </c>
      <c r="F12" s="26">
        <v>31</v>
      </c>
    </row>
    <row r="13" spans="1:6">
      <c r="A13" s="25" t="s">
        <v>211</v>
      </c>
      <c r="B13" s="26">
        <v>10</v>
      </c>
      <c r="C13" s="26">
        <v>15</v>
      </c>
      <c r="D13" s="26">
        <v>4</v>
      </c>
      <c r="E13" s="26">
        <v>0</v>
      </c>
      <c r="F13" s="26">
        <v>29</v>
      </c>
    </row>
    <row r="14" spans="1:6">
      <c r="A14" s="25" t="s">
        <v>222</v>
      </c>
      <c r="B14" s="26">
        <v>6</v>
      </c>
      <c r="C14" s="26">
        <v>13</v>
      </c>
      <c r="D14" s="26">
        <v>0</v>
      </c>
      <c r="E14" s="26">
        <v>10</v>
      </c>
      <c r="F14" s="26">
        <v>29</v>
      </c>
    </row>
    <row r="15" spans="1:6">
      <c r="A15" s="25" t="s">
        <v>208</v>
      </c>
      <c r="B15" s="26">
        <v>5</v>
      </c>
      <c r="C15" s="26">
        <v>9</v>
      </c>
      <c r="D15" s="26">
        <v>4</v>
      </c>
      <c r="E15" s="26">
        <v>8</v>
      </c>
      <c r="F15" s="26">
        <v>26</v>
      </c>
    </row>
    <row r="16" spans="1:6">
      <c r="A16" s="25" t="s">
        <v>227</v>
      </c>
      <c r="B16" s="26">
        <v>7</v>
      </c>
      <c r="C16" s="26">
        <v>11</v>
      </c>
      <c r="D16" s="26">
        <v>4</v>
      </c>
      <c r="E16" s="26">
        <v>3</v>
      </c>
      <c r="F16" s="26">
        <v>25</v>
      </c>
    </row>
    <row r="17" spans="1:6">
      <c r="A17" s="25" t="s">
        <v>214</v>
      </c>
      <c r="B17" s="26">
        <v>6</v>
      </c>
      <c r="C17" s="26">
        <v>10</v>
      </c>
      <c r="D17" s="26">
        <v>2</v>
      </c>
      <c r="E17" s="26">
        <v>7</v>
      </c>
      <c r="F17" s="26">
        <v>25</v>
      </c>
    </row>
    <row r="18" spans="1:6">
      <c r="A18" s="25" t="s">
        <v>216</v>
      </c>
      <c r="B18" s="26">
        <v>1</v>
      </c>
      <c r="C18" s="26">
        <v>15</v>
      </c>
      <c r="D18" s="26">
        <v>3</v>
      </c>
      <c r="E18" s="26">
        <v>5</v>
      </c>
      <c r="F18" s="26">
        <v>24</v>
      </c>
    </row>
    <row r="19" spans="1:6">
      <c r="A19" s="25" t="s">
        <v>226</v>
      </c>
      <c r="B19" s="26">
        <v>5</v>
      </c>
      <c r="C19" s="26">
        <v>6</v>
      </c>
      <c r="D19" s="26">
        <v>9</v>
      </c>
      <c r="E19" s="26">
        <v>2</v>
      </c>
      <c r="F19" s="26">
        <v>22</v>
      </c>
    </row>
    <row r="20" spans="1:6">
      <c r="A20" s="25" t="s">
        <v>225</v>
      </c>
      <c r="B20" s="26">
        <v>4</v>
      </c>
      <c r="C20" s="26">
        <v>11</v>
      </c>
      <c r="D20" s="26">
        <v>2</v>
      </c>
      <c r="E20" s="26">
        <v>2</v>
      </c>
      <c r="F20" s="26">
        <v>19</v>
      </c>
    </row>
    <row r="21" spans="1:6">
      <c r="A21" s="25" t="s">
        <v>220</v>
      </c>
      <c r="B21" s="26">
        <v>2</v>
      </c>
      <c r="C21" s="26">
        <v>4</v>
      </c>
      <c r="D21" s="26">
        <v>5</v>
      </c>
      <c r="E21" s="26">
        <v>5</v>
      </c>
      <c r="F21" s="26">
        <v>16</v>
      </c>
    </row>
    <row r="22" spans="1:6">
      <c r="A22" s="25" t="s">
        <v>207</v>
      </c>
      <c r="B22" s="26">
        <v>4</v>
      </c>
      <c r="C22" s="26">
        <v>2</v>
      </c>
      <c r="D22" s="26">
        <v>2</v>
      </c>
      <c r="E22" s="26">
        <v>1</v>
      </c>
      <c r="F22" s="26">
        <v>9</v>
      </c>
    </row>
    <row r="23" spans="1:6">
      <c r="A23" s="25" t="s">
        <v>206</v>
      </c>
      <c r="B23" s="26">
        <v>3</v>
      </c>
      <c r="C23" s="26">
        <v>3</v>
      </c>
      <c r="D23" s="26">
        <v>1</v>
      </c>
      <c r="E23" s="26">
        <v>0</v>
      </c>
      <c r="F23" s="26">
        <v>7</v>
      </c>
    </row>
    <row r="24" spans="1:6">
      <c r="A24" s="25" t="s">
        <v>210</v>
      </c>
      <c r="B24" s="26">
        <v>0</v>
      </c>
      <c r="C24" s="26">
        <v>4</v>
      </c>
      <c r="D24" s="26">
        <v>2</v>
      </c>
      <c r="E24" s="26">
        <v>1</v>
      </c>
      <c r="F24" s="26">
        <v>7</v>
      </c>
    </row>
    <row r="25" spans="1:6">
      <c r="A25" s="25" t="s">
        <v>209</v>
      </c>
      <c r="B25" s="26">
        <v>1</v>
      </c>
      <c r="C25" s="26">
        <v>0</v>
      </c>
      <c r="D25" s="26">
        <v>0</v>
      </c>
      <c r="E25" s="26">
        <v>3</v>
      </c>
      <c r="F25" s="26">
        <v>4</v>
      </c>
    </row>
    <row r="26" spans="1:6">
      <c r="A26" s="25" t="s">
        <v>213</v>
      </c>
      <c r="B26" s="26">
        <v>0</v>
      </c>
      <c r="C26" s="26">
        <v>2</v>
      </c>
      <c r="D26" s="26">
        <v>1</v>
      </c>
      <c r="E26" s="26">
        <v>0</v>
      </c>
      <c r="F26" s="26">
        <v>3</v>
      </c>
    </row>
    <row r="27" spans="1:6">
      <c r="A27" s="25" t="s">
        <v>199</v>
      </c>
      <c r="B27" s="26">
        <v>165</v>
      </c>
      <c r="C27" s="26">
        <v>257</v>
      </c>
      <c r="D27" s="26">
        <v>131</v>
      </c>
      <c r="E27" s="26">
        <v>134</v>
      </c>
      <c r="F27" s="26">
        <v>687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Roberto Barzola Mendoza</dc:creator>
  <cp:lastModifiedBy>51996839711</cp:lastModifiedBy>
  <dcterms:created xsi:type="dcterms:W3CDTF">2025-09-05T21:02:09Z</dcterms:created>
  <dcterms:modified xsi:type="dcterms:W3CDTF">2025-09-08T01:41:41Z</dcterms:modified>
</cp:coreProperties>
</file>